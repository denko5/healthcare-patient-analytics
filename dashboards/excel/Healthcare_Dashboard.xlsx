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esktop\Healthcare-Project\dashboards\excel\"/>
    </mc:Choice>
  </mc:AlternateContent>
  <xr:revisionPtr revIDLastSave="0" documentId="13_ncr:1_{0905F8AC-BFB0-42E4-A4D1-5DF51903AC98}" xr6:coauthVersionLast="47" xr6:coauthVersionMax="47" xr10:uidLastSave="{00000000-0000-0000-0000-000000000000}"/>
  <bookViews>
    <workbookView xWindow="-108" yWindow="-108" windowWidth="23256" windowHeight="12576" activeTab="2" xr2:uid="{98BDD16A-BE27-486B-8439-850F11313DF4}"/>
  </bookViews>
  <sheets>
    <sheet name="RAW_DATA" sheetId="4" r:id="rId1"/>
    <sheet name="PIVOT_DATA" sheetId="2" r:id="rId2"/>
    <sheet name="DASHBOARD" sheetId="3" r:id="rId3"/>
  </sheets>
  <definedNames>
    <definedName name="ExternalData_1" localSheetId="0" hidden="1">RAW_DATA!$A$1:$U$1001</definedName>
    <definedName name="Slicer_Admission_Type">#N/A</definedName>
    <definedName name="Slicer_Admission_Year">#N/A</definedName>
    <definedName name="Slicer_Gender">#N/A</definedName>
    <definedName name="Slicer_Insurance_Provider">#N/A</definedName>
    <definedName name="Slicer_Medical_Condi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 i="3" l="1"/>
  <c r="L6" i="3"/>
  <c r="O6" i="3"/>
  <c r="Q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81606E-D827-4BC0-A5CF-4AC3F5326F0A}" keepAlive="1" name="Query - healthcare_cleaned" description="Connection to the 'healthcare_cleaned' query in the workbook." type="5" refreshedVersion="8" background="1" saveData="1">
    <dbPr connection="Provider=Microsoft.Mashup.OleDb.1;Data Source=$Workbook$;Location=healthcare_cleaned;Extended Properties=&quot;&quot;" command="SELECT * FROM [healthcare_cleaned]"/>
  </connection>
</connections>
</file>

<file path=xl/sharedStrings.xml><?xml version="1.0" encoding="utf-8"?>
<sst xmlns="http://schemas.openxmlformats.org/spreadsheetml/2006/main" count="13088" uniqueCount="3068">
  <si>
    <t>Name</t>
  </si>
  <si>
    <t>Age</t>
  </si>
  <si>
    <t>Gender</t>
  </si>
  <si>
    <t>Blood Type</t>
  </si>
  <si>
    <t>Medical Condition</t>
  </si>
  <si>
    <t>Date of Admission</t>
  </si>
  <si>
    <t>Doctor</t>
  </si>
  <si>
    <t>Hospital</t>
  </si>
  <si>
    <t>Insurance Provider</t>
  </si>
  <si>
    <t>Billing Amount</t>
  </si>
  <si>
    <t>Room Number</t>
  </si>
  <si>
    <t>Admission Type</t>
  </si>
  <si>
    <t>Discharge Date</t>
  </si>
  <si>
    <t>Medication</t>
  </si>
  <si>
    <t>Test Results</t>
  </si>
  <si>
    <t>Length_of_Stay</t>
  </si>
  <si>
    <t>Age_Group</t>
  </si>
  <si>
    <t>Billing_Category</t>
  </si>
  <si>
    <t>Admission_Month</t>
  </si>
  <si>
    <t>Admission_Year</t>
  </si>
  <si>
    <t>Admission_Month_Name</t>
  </si>
  <si>
    <t>Bobby JacksOn</t>
  </si>
  <si>
    <t>Male</t>
  </si>
  <si>
    <t>B-</t>
  </si>
  <si>
    <t>Cancer</t>
  </si>
  <si>
    <t>Matthew Smith</t>
  </si>
  <si>
    <t>Sons and Miller</t>
  </si>
  <si>
    <t>Blue Cross</t>
  </si>
  <si>
    <t>Urgent</t>
  </si>
  <si>
    <t>Paracetamol</t>
  </si>
  <si>
    <t>Normal</t>
  </si>
  <si>
    <t>Young Adult</t>
  </si>
  <si>
    <t>Medium</t>
  </si>
  <si>
    <t>January</t>
  </si>
  <si>
    <t>LesLie TErRy</t>
  </si>
  <si>
    <t>A+</t>
  </si>
  <si>
    <t>Obesity</t>
  </si>
  <si>
    <t>Samantha Davies</t>
  </si>
  <si>
    <t>Kim Inc</t>
  </si>
  <si>
    <t>Medicare</t>
  </si>
  <si>
    <t>Emergency</t>
  </si>
  <si>
    <t>Ibuprofen</t>
  </si>
  <si>
    <t>Inconclusive</t>
  </si>
  <si>
    <t>Senior</t>
  </si>
  <si>
    <t>High</t>
  </si>
  <si>
    <t>August</t>
  </si>
  <si>
    <t>DaNnY sMitH</t>
  </si>
  <si>
    <t>Female</t>
  </si>
  <si>
    <t>A-</t>
  </si>
  <si>
    <t>Tiffany Mitchell</t>
  </si>
  <si>
    <t>Cook PLC</t>
  </si>
  <si>
    <t>Aetna</t>
  </si>
  <si>
    <t>Aspirin</t>
  </si>
  <si>
    <t>Elderly</t>
  </si>
  <si>
    <t>September</t>
  </si>
  <si>
    <t>andrEw waTtS</t>
  </si>
  <si>
    <t>O+</t>
  </si>
  <si>
    <t>Diabetes</t>
  </si>
  <si>
    <t>Kevin Wells</t>
  </si>
  <si>
    <t>Hernandez Rogers and Vang,</t>
  </si>
  <si>
    <t>Elective</t>
  </si>
  <si>
    <t>Abnormal</t>
  </si>
  <si>
    <t>November</t>
  </si>
  <si>
    <t>adrIENNE bEll</t>
  </si>
  <si>
    <t>AB+</t>
  </si>
  <si>
    <t>Kathleen Hanna</t>
  </si>
  <si>
    <t>White-White</t>
  </si>
  <si>
    <t>Penicillin</t>
  </si>
  <si>
    <t>Middle-Aged</t>
  </si>
  <si>
    <t>EMILY JOHNSOn</t>
  </si>
  <si>
    <t>Asthma</t>
  </si>
  <si>
    <t>Taylor Newton</t>
  </si>
  <si>
    <t>Nunez-Humphrey</t>
  </si>
  <si>
    <t>UnitedHealthcare</t>
  </si>
  <si>
    <t>December</t>
  </si>
  <si>
    <t>edwArD EDWaRDs</t>
  </si>
  <si>
    <t>AB-</t>
  </si>
  <si>
    <t>Kelly Olson</t>
  </si>
  <si>
    <t>Group Middleton</t>
  </si>
  <si>
    <t>CHrisTInA MARtinez</t>
  </si>
  <si>
    <t>Suzanne Thomas</t>
  </si>
  <si>
    <t>Powell Robinson and Valdez,</t>
  </si>
  <si>
    <t>Cigna</t>
  </si>
  <si>
    <t>JASmINe aGuIlaR</t>
  </si>
  <si>
    <t>Daniel Ferguson</t>
  </si>
  <si>
    <t>Sons Rich and</t>
  </si>
  <si>
    <t>July</t>
  </si>
  <si>
    <t>ChRISTopher BerG</t>
  </si>
  <si>
    <t>Heather Day</t>
  </si>
  <si>
    <t>Padilla-Walker</t>
  </si>
  <si>
    <t>May</t>
  </si>
  <si>
    <t>mIchElLe daniELs</t>
  </si>
  <si>
    <t>John Duncan</t>
  </si>
  <si>
    <t>Schaefer-Porter</t>
  </si>
  <si>
    <t>April</t>
  </si>
  <si>
    <t>aaRon MARtiNeZ</t>
  </si>
  <si>
    <t>Hypertension</t>
  </si>
  <si>
    <t>Douglas Mayo</t>
  </si>
  <si>
    <t>Lyons-Blair</t>
  </si>
  <si>
    <t>Lipitor</t>
  </si>
  <si>
    <t>Low</t>
  </si>
  <si>
    <t>connOR HANsEn</t>
  </si>
  <si>
    <t>Kenneth Fletcher</t>
  </si>
  <si>
    <t>Powers Miller, and Flores</t>
  </si>
  <si>
    <t>rObeRt bAuer</t>
  </si>
  <si>
    <t>Theresa Freeman</t>
  </si>
  <si>
    <t>Rivera-Gutierrez</t>
  </si>
  <si>
    <t>bROOkE brady</t>
  </si>
  <si>
    <t>Roberta Stewart</t>
  </si>
  <si>
    <t>Morris-Arellano</t>
  </si>
  <si>
    <t>October</t>
  </si>
  <si>
    <t>MS. nAtalIE gAMble</t>
  </si>
  <si>
    <t>Maria Dougherty</t>
  </si>
  <si>
    <t>Cline-Williams</t>
  </si>
  <si>
    <t>haley perkins</t>
  </si>
  <si>
    <t>Arthritis</t>
  </si>
  <si>
    <t>Erica Spencer</t>
  </si>
  <si>
    <t>Cervantes-Wells</t>
  </si>
  <si>
    <t>June</t>
  </si>
  <si>
    <t>mRS. jamiE cAMPBELl</t>
  </si>
  <si>
    <t>Justin Kim</t>
  </si>
  <si>
    <t>Torres, and Harrison Jones</t>
  </si>
  <si>
    <t>March</t>
  </si>
  <si>
    <t>LuKE BuRgEss</t>
  </si>
  <si>
    <t>Justin Moore Jr.</t>
  </si>
  <si>
    <t>Houston PLC</t>
  </si>
  <si>
    <t>dANIEL schmIdt</t>
  </si>
  <si>
    <t>B+</t>
  </si>
  <si>
    <t>Denise Galloway</t>
  </si>
  <si>
    <t>Hammond Ltd</t>
  </si>
  <si>
    <t>tIMOTHY burNs</t>
  </si>
  <si>
    <t>Krista Smith</t>
  </si>
  <si>
    <t>Jones LLC</t>
  </si>
  <si>
    <t>ChRISToPHEr BRiGhT</t>
  </si>
  <si>
    <t>Gregory Smith</t>
  </si>
  <si>
    <t>Williams-Davis</t>
  </si>
  <si>
    <t>KatHRYn StewArt</t>
  </si>
  <si>
    <t>Vanessa Newton</t>
  </si>
  <si>
    <t>Clark-Mayo</t>
  </si>
  <si>
    <t>dR. EilEEn thomPsoN</t>
  </si>
  <si>
    <t>Donna Martinez MD</t>
  </si>
  <si>
    <t>and Sons Smith</t>
  </si>
  <si>
    <t>PAUl hEndERsOn</t>
  </si>
  <si>
    <t>Stephanie Kramer</t>
  </si>
  <si>
    <t>Wilson Group</t>
  </si>
  <si>
    <t>PeTER fiTzgeRaLd</t>
  </si>
  <si>
    <t>Angela Contreras</t>
  </si>
  <si>
    <t>Garner-Bowman</t>
  </si>
  <si>
    <t>cathy sMaLl</t>
  </si>
  <si>
    <t>O-</t>
  </si>
  <si>
    <t>Wendy Glenn</t>
  </si>
  <si>
    <t>Brown, and Jones Weaver</t>
  </si>
  <si>
    <t>mr. KenNEth MoORE</t>
  </si>
  <si>
    <t>James Ellis</t>
  </si>
  <si>
    <t>Serrano-Dixon</t>
  </si>
  <si>
    <t>MaRy hUNter</t>
  </si>
  <si>
    <t>Jared Bruce Jr.</t>
  </si>
  <si>
    <t>Gardner-Miller</t>
  </si>
  <si>
    <t>jOSHUA OLiVer</t>
  </si>
  <si>
    <t>Brandy Mitchell</t>
  </si>
  <si>
    <t>Guerrero-Boone</t>
  </si>
  <si>
    <t>ThOMAS MartInEZ</t>
  </si>
  <si>
    <t>Jacob Huynh</t>
  </si>
  <si>
    <t>Hart Ltd</t>
  </si>
  <si>
    <t>JAmES pattERson</t>
  </si>
  <si>
    <t>Kristina Frazier</t>
  </si>
  <si>
    <t>Cruz-Santiago</t>
  </si>
  <si>
    <t>WilLIAM cOOPEr</t>
  </si>
  <si>
    <t>John Hartman</t>
  </si>
  <si>
    <t>Group Duncan</t>
  </si>
  <si>
    <t>Erin oRTEga</t>
  </si>
  <si>
    <t>Heather Garcia</t>
  </si>
  <si>
    <t>Lopez-Phillips</t>
  </si>
  <si>
    <t>NicOlE RodriGUEz</t>
  </si>
  <si>
    <t>Lynn Young</t>
  </si>
  <si>
    <t>Poole Inc</t>
  </si>
  <si>
    <t>DAvID AndErSON</t>
  </si>
  <si>
    <t>Emma Allison</t>
  </si>
  <si>
    <t>Sons and Cox</t>
  </si>
  <si>
    <t>DEnIse ToRRES</t>
  </si>
  <si>
    <t>Laura Myers</t>
  </si>
  <si>
    <t>LLC Martin</t>
  </si>
  <si>
    <t>CasSAndrA Robinson</t>
  </si>
  <si>
    <t>Travis Parsons</t>
  </si>
  <si>
    <t>Espinoza-Stone</t>
  </si>
  <si>
    <t>NIcOlE LUcErO</t>
  </si>
  <si>
    <t>Christine Johnson</t>
  </si>
  <si>
    <t>and Garcia Morris Cunningham,</t>
  </si>
  <si>
    <t>PAmela fErNanDeZ</t>
  </si>
  <si>
    <t>Emily Taylor</t>
  </si>
  <si>
    <t>Walton-Meyer</t>
  </si>
  <si>
    <t>chRiSTOPHer LEe</t>
  </si>
  <si>
    <t>William Reynolds</t>
  </si>
  <si>
    <t>PLC Young</t>
  </si>
  <si>
    <t>ThomAS morsE</t>
  </si>
  <si>
    <t>Jennifer Carter</t>
  </si>
  <si>
    <t>Meadows Group</t>
  </si>
  <si>
    <t>Mr. eRiC Lane</t>
  </si>
  <si>
    <t>Matthew Thomas</t>
  </si>
  <si>
    <t>and Howell Brooks, Rogers</t>
  </si>
  <si>
    <t>KAThEriNE SmiTH</t>
  </si>
  <si>
    <t>Mary Logan</t>
  </si>
  <si>
    <t>and Mcclure White Boone,</t>
  </si>
  <si>
    <t>pAUL wILLiAmS</t>
  </si>
  <si>
    <t>Kristin Martinez</t>
  </si>
  <si>
    <t>Gates Brown, and Stuart</t>
  </si>
  <si>
    <t>lYNn MaRtinez</t>
  </si>
  <si>
    <t>Daniel Murphy</t>
  </si>
  <si>
    <t>Group Armstrong</t>
  </si>
  <si>
    <t>chRIsTOpHEr CHaPmAN</t>
  </si>
  <si>
    <t>Emily Patterson</t>
  </si>
  <si>
    <t>Ltd Schwartz</t>
  </si>
  <si>
    <t>CHRis fRYe</t>
  </si>
  <si>
    <t>Heather Smith</t>
  </si>
  <si>
    <t>Nelson-Phillips</t>
  </si>
  <si>
    <t>kyLE bEnneTT</t>
  </si>
  <si>
    <t>John Smith</t>
  </si>
  <si>
    <t>Knight and Nguyen, Riggs</t>
  </si>
  <si>
    <t>BRandOn coLLINS</t>
  </si>
  <si>
    <t>Cameron Young</t>
  </si>
  <si>
    <t>Lopez PLC</t>
  </si>
  <si>
    <t>mIchael LiU</t>
  </si>
  <si>
    <t>Vicki Nguyen</t>
  </si>
  <si>
    <t>Fernandez and Phillips, Singh</t>
  </si>
  <si>
    <t>STepHaNie kEnt</t>
  </si>
  <si>
    <t>Mary Moss</t>
  </si>
  <si>
    <t>Beck-Galloway</t>
  </si>
  <si>
    <t>JessE BaNks</t>
  </si>
  <si>
    <t>Alexander Garcia</t>
  </si>
  <si>
    <t>Decker Glover, and Christensen</t>
  </si>
  <si>
    <t>PeGGY LEe</t>
  </si>
  <si>
    <t>Patrick Burns</t>
  </si>
  <si>
    <t>Nelson Walker Myers, and</t>
  </si>
  <si>
    <t>TAmARa hErNAndez</t>
  </si>
  <si>
    <t>Kayla Powers</t>
  </si>
  <si>
    <t>Mitchell-Navarro</t>
  </si>
  <si>
    <t>mR. DAVID pIERce Md</t>
  </si>
  <si>
    <t>Julia Cox</t>
  </si>
  <si>
    <t>Group Delgado</t>
  </si>
  <si>
    <t>beThaNY MoOrE</t>
  </si>
  <si>
    <t>Penny Pruitt</t>
  </si>
  <si>
    <t>and Montes Graves, Thomas</t>
  </si>
  <si>
    <t>MIChael MIllS</t>
  </si>
  <si>
    <t>Mrs. Lori Hurst PhD</t>
  </si>
  <si>
    <t>Hall-Bentley</t>
  </si>
  <si>
    <t>kyle Wiley</t>
  </si>
  <si>
    <t>Stephen Carr</t>
  </si>
  <si>
    <t>Taylor-Nguyen</t>
  </si>
  <si>
    <t>jACqUeLINE jORdaN</t>
  </si>
  <si>
    <t>Jacob Daniel</t>
  </si>
  <si>
    <t>Hunter-Grant</t>
  </si>
  <si>
    <t>ASHleY guTIERreZ</t>
  </si>
  <si>
    <t>Tyler Braun</t>
  </si>
  <si>
    <t>Miller-Lawson</t>
  </si>
  <si>
    <t>Kim ScOtt</t>
  </si>
  <si>
    <t>Cindy Ellis</t>
  </si>
  <si>
    <t>Scott-Kelly</t>
  </si>
  <si>
    <t>tRAvIs carTeR</t>
  </si>
  <si>
    <t>Megan Hahn</t>
  </si>
  <si>
    <t>Moss and Ferguson, Baker</t>
  </si>
  <si>
    <t>LArry rodgeRs</t>
  </si>
  <si>
    <t>Eric Kelly</t>
  </si>
  <si>
    <t>and Mason Smith Chase,</t>
  </si>
  <si>
    <t>Nancy glOVeR</t>
  </si>
  <si>
    <t>Jennifer Larson</t>
  </si>
  <si>
    <t>Khan, and Rodriguez Fischer</t>
  </si>
  <si>
    <t>JessIca king</t>
  </si>
  <si>
    <t>William Hess</t>
  </si>
  <si>
    <t>Sons Watson and</t>
  </si>
  <si>
    <t>ChRiStOPhER gOnzAlez</t>
  </si>
  <si>
    <t>Patricia Dunn</t>
  </si>
  <si>
    <t>Rhodes-Carey</t>
  </si>
  <si>
    <t>jOhN hARTmAN</t>
  </si>
  <si>
    <t>Jack Jackson</t>
  </si>
  <si>
    <t>Bullock-Ramsey</t>
  </si>
  <si>
    <t>MicHAEl MillEr</t>
  </si>
  <si>
    <t>Jonathan Drake</t>
  </si>
  <si>
    <t>Clark Brown, and Myers</t>
  </si>
  <si>
    <t>February</t>
  </si>
  <si>
    <t>Erica myERS</t>
  </si>
  <si>
    <t>Ian Benitez</t>
  </si>
  <si>
    <t>Jackson and Lane, Dillon</t>
  </si>
  <si>
    <t>cAROl PaTtERSoN</t>
  </si>
  <si>
    <t>Jamie Baker</t>
  </si>
  <si>
    <t>Turner Cook, Banks and</t>
  </si>
  <si>
    <t>JOSe LopEz</t>
  </si>
  <si>
    <t>Erika Jackson</t>
  </si>
  <si>
    <t>Miles, and Weaver Hudson</t>
  </si>
  <si>
    <t>kEVIn SiMmoNs Jr.</t>
  </si>
  <si>
    <t>Amanda Garcia</t>
  </si>
  <si>
    <t>Evans Ltd</t>
  </si>
  <si>
    <t>DuANe HaneY</t>
  </si>
  <si>
    <t>Raven Wong</t>
  </si>
  <si>
    <t>Sons and Schaefer</t>
  </si>
  <si>
    <t>JONathAn yaTeS</t>
  </si>
  <si>
    <t>Cynthia Scott</t>
  </si>
  <si>
    <t>Sons Hodges and</t>
  </si>
  <si>
    <t>johN THoMaS</t>
  </si>
  <si>
    <t>Mark Padilla</t>
  </si>
  <si>
    <t>Simpson-Mccall</t>
  </si>
  <si>
    <t>AdriaN BuckLEY</t>
  </si>
  <si>
    <t>Julie Ramirez</t>
  </si>
  <si>
    <t>Lin Thompson Wells, and</t>
  </si>
  <si>
    <t>apRil SANTIAgO</t>
  </si>
  <si>
    <t>Jacob Rich</t>
  </si>
  <si>
    <t>Jones-Scott</t>
  </si>
  <si>
    <t>DIane scHultz</t>
  </si>
  <si>
    <t>Mark Hartman Jr.</t>
  </si>
  <si>
    <t>Howe-Kelly</t>
  </si>
  <si>
    <t>tiMOThY myers</t>
  </si>
  <si>
    <t>Timothy Baker</t>
  </si>
  <si>
    <t>and Sons Reyes</t>
  </si>
  <si>
    <t>NICOLE HUGhes</t>
  </si>
  <si>
    <t>Lori Sanchez</t>
  </si>
  <si>
    <t>Shaw-Young</t>
  </si>
  <si>
    <t>ChAd MorEnO</t>
  </si>
  <si>
    <t>Connie Boyd</t>
  </si>
  <si>
    <t>Inc Skinner</t>
  </si>
  <si>
    <t>SeaN jenniNGs</t>
  </si>
  <si>
    <t>James Tucker</t>
  </si>
  <si>
    <t>Clark-Johnson</t>
  </si>
  <si>
    <t>DIAnE brAnch</t>
  </si>
  <si>
    <t>Juan Acevedo</t>
  </si>
  <si>
    <t>Perez and Sons</t>
  </si>
  <si>
    <t>cindY OROzco</t>
  </si>
  <si>
    <t>Julie Finley</t>
  </si>
  <si>
    <t>Kemp LLC</t>
  </si>
  <si>
    <t>pAtriCIa MEdinA</t>
  </si>
  <si>
    <t>Miguel Parker</t>
  </si>
  <si>
    <t>LLC Dixon</t>
  </si>
  <si>
    <t>kayLa padillA</t>
  </si>
  <si>
    <t>Jermaine Peters</t>
  </si>
  <si>
    <t>and Morales Jennings Cook,</t>
  </si>
  <si>
    <t>JUan klEiN</t>
  </si>
  <si>
    <t>Lisa Edwards</t>
  </si>
  <si>
    <t>Group Hood</t>
  </si>
  <si>
    <t>wILLIAM hIlL</t>
  </si>
  <si>
    <t>Matthew Walker</t>
  </si>
  <si>
    <t>Lindsey Inc</t>
  </si>
  <si>
    <t>CARL BEst</t>
  </si>
  <si>
    <t>Gregory Hansen</t>
  </si>
  <si>
    <t>Ltd Wang</t>
  </si>
  <si>
    <t>TInA GriFfin</t>
  </si>
  <si>
    <t>Jessica Cruz</t>
  </si>
  <si>
    <t>Inc Ford</t>
  </si>
  <si>
    <t>MR. TYler TAYLOR Phd</t>
  </si>
  <si>
    <t>Robert Salazar</t>
  </si>
  <si>
    <t>Dean-Hawkins</t>
  </si>
  <si>
    <t>TAyLoR howeLl Dds</t>
  </si>
  <si>
    <t>Kyle Patterson</t>
  </si>
  <si>
    <t>Walter PLC</t>
  </si>
  <si>
    <t>mIcHAeL MaRTIn</t>
  </si>
  <si>
    <t>John Summers</t>
  </si>
  <si>
    <t>Sons Horn and</t>
  </si>
  <si>
    <t>heatHER mIller</t>
  </si>
  <si>
    <t>Scott Grant</t>
  </si>
  <si>
    <t>Powell Ward, and Mercado</t>
  </si>
  <si>
    <t>cathERinE gArDnEr</t>
  </si>
  <si>
    <t>David Ruiz</t>
  </si>
  <si>
    <t>James Ltd</t>
  </si>
  <si>
    <t>ANNE THOMPSoN</t>
  </si>
  <si>
    <t>Kyle Smith</t>
  </si>
  <si>
    <t>Kemp-Munoz</t>
  </si>
  <si>
    <t>TOdd coopeR</t>
  </si>
  <si>
    <t>Jason Price</t>
  </si>
  <si>
    <t>Henderson-Taylor</t>
  </si>
  <si>
    <t>PhILLIP lyOnS</t>
  </si>
  <si>
    <t>Stephanie Clements</t>
  </si>
  <si>
    <t>Parsons, Hartman Martinez and</t>
  </si>
  <si>
    <t>MaRk foRD</t>
  </si>
  <si>
    <t>Steven James</t>
  </si>
  <si>
    <t>Luna Inc</t>
  </si>
  <si>
    <t>mARcUS ZAmorA</t>
  </si>
  <si>
    <t>Jeremiah Wolf</t>
  </si>
  <si>
    <t>Hernandez, Ritter and Huffman</t>
  </si>
  <si>
    <t>KaTiE hENry</t>
  </si>
  <si>
    <t>Roberto Petersen</t>
  </si>
  <si>
    <t>Reed LLC</t>
  </si>
  <si>
    <t>wilLIAm morTON</t>
  </si>
  <si>
    <t>Christina Hammond</t>
  </si>
  <si>
    <t>Thompson-Walker</t>
  </si>
  <si>
    <t>KaTRina maRTin</t>
  </si>
  <si>
    <t>Patricia Colon</t>
  </si>
  <si>
    <t>Group Nguyen</t>
  </si>
  <si>
    <t>HunTeR mckAy</t>
  </si>
  <si>
    <t>Dominic Mitchell</t>
  </si>
  <si>
    <t>Newton-White</t>
  </si>
  <si>
    <t>dWAYnE DAViS</t>
  </si>
  <si>
    <t>Wendy Davis</t>
  </si>
  <si>
    <t>Ltd Thomas</t>
  </si>
  <si>
    <t>sARAH CalDweLL</t>
  </si>
  <si>
    <t>Daniel Carson</t>
  </si>
  <si>
    <t>Pierce Ward, Torres and</t>
  </si>
  <si>
    <t>DAVid higgInS</t>
  </si>
  <si>
    <t>Erin Henderson MD</t>
  </si>
  <si>
    <t>Evans and Hall Schneider,</t>
  </si>
  <si>
    <t>bRADlEY coMbS</t>
  </si>
  <si>
    <t>Christopher Butler</t>
  </si>
  <si>
    <t>Stout-Brown</t>
  </si>
  <si>
    <t>chrisTiNa SChMitt</t>
  </si>
  <si>
    <t>Samuel Robles</t>
  </si>
  <si>
    <t>Cruz Ltd</t>
  </si>
  <si>
    <t>coLtoN stRONg</t>
  </si>
  <si>
    <t>Benjamin Webb</t>
  </si>
  <si>
    <t>Stewart Sons and</t>
  </si>
  <si>
    <t>MARK priCE</t>
  </si>
  <si>
    <t>Krystal Fox</t>
  </si>
  <si>
    <t>Hall Roberts and Duarte,</t>
  </si>
  <si>
    <t>sUZaNnE SchNeIder</t>
  </si>
  <si>
    <t>Bruce Garrett</t>
  </si>
  <si>
    <t>Ramirez-Robinson</t>
  </si>
  <si>
    <t>MIchaEL HUrLEY</t>
  </si>
  <si>
    <t>Jonathan Watson</t>
  </si>
  <si>
    <t>Garcia, and Bishop Hernandez</t>
  </si>
  <si>
    <t>LIndsEy laMbErt</t>
  </si>
  <si>
    <t>Christopher Guerra</t>
  </si>
  <si>
    <t>and Brown Oneal, Shah</t>
  </si>
  <si>
    <t>reBEcCA PARsONs</t>
  </si>
  <si>
    <t>Steven Adams</t>
  </si>
  <si>
    <t>Group White</t>
  </si>
  <si>
    <t>jUdy joHNsoN</t>
  </si>
  <si>
    <t>Victoria Patel</t>
  </si>
  <si>
    <t>Hughes and Erickson, Anderson</t>
  </si>
  <si>
    <t>TOnyA caMpbell</t>
  </si>
  <si>
    <t>Louis Bell</t>
  </si>
  <si>
    <t>Lane-Kelly</t>
  </si>
  <si>
    <t>JAMEs Ross</t>
  </si>
  <si>
    <t>Michael Baker</t>
  </si>
  <si>
    <t>Cox-Hester</t>
  </si>
  <si>
    <t>SaRA COOk</t>
  </si>
  <si>
    <t>Douglas Fleming</t>
  </si>
  <si>
    <t>Jarvis Scott, Fleming and</t>
  </si>
  <si>
    <t>annE howeLl</t>
  </si>
  <si>
    <t>Patrick Carter</t>
  </si>
  <si>
    <t>Cline-Carpenter</t>
  </si>
  <si>
    <t>RENEE bAilEY</t>
  </si>
  <si>
    <t>Sarah Shaffer</t>
  </si>
  <si>
    <t>Johnson, and Ross Harris</t>
  </si>
  <si>
    <t>Jeffrey tuRNER</t>
  </si>
  <si>
    <t>Matthew Carter</t>
  </si>
  <si>
    <t>Kim Rosario, and Hammond</t>
  </si>
  <si>
    <t>DR. LaUreN ClaRk DDs</t>
  </si>
  <si>
    <t>Brian Wagner</t>
  </si>
  <si>
    <t>PLC Jimenez</t>
  </si>
  <si>
    <t>terRY THoMaS</t>
  </si>
  <si>
    <t>Lucas Cole</t>
  </si>
  <si>
    <t>Cantu-Berry</t>
  </si>
  <si>
    <t>JasOn baKEr</t>
  </si>
  <si>
    <t>Julia Yoder</t>
  </si>
  <si>
    <t>Wright-Alexander</t>
  </si>
  <si>
    <t>JEssicA gUtiERrEz</t>
  </si>
  <si>
    <t>Crystal Chavez</t>
  </si>
  <si>
    <t>Guzman-Carlson</t>
  </si>
  <si>
    <t>COURTNey HOdGes</t>
  </si>
  <si>
    <t>Brenda Lopez</t>
  </si>
  <si>
    <t>Meyer-Hill</t>
  </si>
  <si>
    <t>ANthONy reYEs</t>
  </si>
  <si>
    <t>Michael Cole</t>
  </si>
  <si>
    <t>Dudley-Atkinson</t>
  </si>
  <si>
    <t>LeaH cRoSs Dds</t>
  </si>
  <si>
    <t>Michael Larson</t>
  </si>
  <si>
    <t>Kelly-Allen</t>
  </si>
  <si>
    <t>PaUL MaRTinEz</t>
  </si>
  <si>
    <t>Tracey Spence</t>
  </si>
  <si>
    <t>Lewis Livingston, Lowe and</t>
  </si>
  <si>
    <t>DenisE rOdRIGuEZ</t>
  </si>
  <si>
    <t>Susan Gibson</t>
  </si>
  <si>
    <t>Rodriguez Ltd</t>
  </si>
  <si>
    <t>ashLEy ERIcKSoN</t>
  </si>
  <si>
    <t>Gerald Hooper</t>
  </si>
  <si>
    <t>and Johnson Moore, Branch</t>
  </si>
  <si>
    <t>SEaN carDenaS</t>
  </si>
  <si>
    <t>Todd Sanchez</t>
  </si>
  <si>
    <t>Holmes and Hughes, Phillips</t>
  </si>
  <si>
    <t>aLaN AlVaREz</t>
  </si>
  <si>
    <t>Elizabeth Morales</t>
  </si>
  <si>
    <t>and Smith, Tucker Cross</t>
  </si>
  <si>
    <t>JeSsICA phiLliPS</t>
  </si>
  <si>
    <t>Kimberly Petersen</t>
  </si>
  <si>
    <t>Sons and Lozano</t>
  </si>
  <si>
    <t>tiMOthY CoLemaN</t>
  </si>
  <si>
    <t>Misty Garcia</t>
  </si>
  <si>
    <t>Russell Ltd</t>
  </si>
  <si>
    <t>cHristina wooDS</t>
  </si>
  <si>
    <t>Melissa Fernandez</t>
  </si>
  <si>
    <t>Jones Ltd</t>
  </si>
  <si>
    <t>mELIssa sCOtt</t>
  </si>
  <si>
    <t>Kari Moore</t>
  </si>
  <si>
    <t>Gordon-Ward</t>
  </si>
  <si>
    <t>GaRy hoPkiNS</t>
  </si>
  <si>
    <t>David Hubbard</t>
  </si>
  <si>
    <t>Barnes and Sons</t>
  </si>
  <si>
    <t>aPRIL VAleNCIA</t>
  </si>
  <si>
    <t>Lonnie Morgan</t>
  </si>
  <si>
    <t>Levine-Miller</t>
  </si>
  <si>
    <t>riTA archER</t>
  </si>
  <si>
    <t>Victoria Gonzales</t>
  </si>
  <si>
    <t>and Marquez Silva Smith,</t>
  </si>
  <si>
    <t>kIm PenA</t>
  </si>
  <si>
    <t>Cindy White</t>
  </si>
  <si>
    <t>Jackson-Copeland</t>
  </si>
  <si>
    <t>jaSoN FOlEy</t>
  </si>
  <si>
    <t>Douglas Li</t>
  </si>
  <si>
    <t>Perez and Ochoa White,</t>
  </si>
  <si>
    <t>ShAUN GuzmAn</t>
  </si>
  <si>
    <t>Lori Mendoza</t>
  </si>
  <si>
    <t>Ltd Conrad</t>
  </si>
  <si>
    <t>MATTHeW wHite</t>
  </si>
  <si>
    <t>Ryan Ross</t>
  </si>
  <si>
    <t>Hampton-Thomas</t>
  </si>
  <si>
    <t>aLExiS wilsOn</t>
  </si>
  <si>
    <t>Brian Walton</t>
  </si>
  <si>
    <t>Thomas-Kelley</t>
  </si>
  <si>
    <t>JaCQueLiNE maRshAll</t>
  </si>
  <si>
    <t>Michael Berg</t>
  </si>
  <si>
    <t>Myers-Monroe</t>
  </si>
  <si>
    <t>RoBErt hIGGInS</t>
  </si>
  <si>
    <t>Scott Davis</t>
  </si>
  <si>
    <t>and Ford Lee, Rodriguez</t>
  </si>
  <si>
    <t>SierRa MoRTON</t>
  </si>
  <si>
    <t>Daniel Shelton</t>
  </si>
  <si>
    <t>Sons Garcia and</t>
  </si>
  <si>
    <t>nATAliE sTANtoN</t>
  </si>
  <si>
    <t>Tara Moreno</t>
  </si>
  <si>
    <t>Perry Little, and Moore</t>
  </si>
  <si>
    <t>jEssica aceveDo</t>
  </si>
  <si>
    <t>Kristie Morgan</t>
  </si>
  <si>
    <t>Anderson Group</t>
  </si>
  <si>
    <t>JENnIfEr mCmillan</t>
  </si>
  <si>
    <t>Joseph Jones</t>
  </si>
  <si>
    <t>Rodriguez and Sons</t>
  </si>
  <si>
    <t>ChRISTopher mccLAiN</t>
  </si>
  <si>
    <t>Maria Tran</t>
  </si>
  <si>
    <t>Thomas-Huber</t>
  </si>
  <si>
    <t>kevIn HiCKs</t>
  </si>
  <si>
    <t>Kelly Murphy</t>
  </si>
  <si>
    <t>Robinson Inc</t>
  </si>
  <si>
    <t>MELIndA richARds</t>
  </si>
  <si>
    <t>Katherine Brown</t>
  </si>
  <si>
    <t>Wood-Mathews</t>
  </si>
  <si>
    <t>roBYn miRaNDa</t>
  </si>
  <si>
    <t>Elizabeth Frank</t>
  </si>
  <si>
    <t>Walker and Gardner Fernandez,</t>
  </si>
  <si>
    <t>scoTt caSTillO</t>
  </si>
  <si>
    <t>Alyssa Edwards</t>
  </si>
  <si>
    <t>Smith and Johnston, Collins</t>
  </si>
  <si>
    <t>jOHN GarciA</t>
  </si>
  <si>
    <t>Jesse Thomas</t>
  </si>
  <si>
    <t>Sons Miller and</t>
  </si>
  <si>
    <t>miCHAeL TayloR</t>
  </si>
  <si>
    <t>Erica Mccormick</t>
  </si>
  <si>
    <t>Donaldson-Frey</t>
  </si>
  <si>
    <t>jeFfReY WoOd</t>
  </si>
  <si>
    <t>Amber Holmes</t>
  </si>
  <si>
    <t>Brown-Yoder</t>
  </si>
  <si>
    <t>MiCHAEl smIth</t>
  </si>
  <si>
    <t>Austin Jackson</t>
  </si>
  <si>
    <t>Morgan Rios and Keller,</t>
  </si>
  <si>
    <t>wiLLiam grIFfItH</t>
  </si>
  <si>
    <t>Shane Morris</t>
  </si>
  <si>
    <t>Gonzalez-King</t>
  </si>
  <si>
    <t>CHrISTiNa lAwReNCe</t>
  </si>
  <si>
    <t>Brent Smith</t>
  </si>
  <si>
    <t>Wagner Ltd</t>
  </si>
  <si>
    <t>jeSsiCA HolmeS</t>
  </si>
  <si>
    <t>Kayla Davis</t>
  </si>
  <si>
    <t>and Brown White, Jones</t>
  </si>
  <si>
    <t>traCEY grEenE</t>
  </si>
  <si>
    <t>Rose Zuniga</t>
  </si>
  <si>
    <t>James-Smith</t>
  </si>
  <si>
    <t>aMAnda lOpeZ</t>
  </si>
  <si>
    <t>Ethan Wagner</t>
  </si>
  <si>
    <t>Hanson Group</t>
  </si>
  <si>
    <t>LaurA pEtErS</t>
  </si>
  <si>
    <t>Phillip Williams</t>
  </si>
  <si>
    <t>Mcclain-Reed</t>
  </si>
  <si>
    <t>LAUrEn ANDErSOn</t>
  </si>
  <si>
    <t>Maureen Hill</t>
  </si>
  <si>
    <t>Young-Smith</t>
  </si>
  <si>
    <t>wILliAm CAmpos</t>
  </si>
  <si>
    <t>Heidi Compton MD</t>
  </si>
  <si>
    <t>Hart-Brock</t>
  </si>
  <si>
    <t>jEssiCa GoNzAleS</t>
  </si>
  <si>
    <t>Kimberly Gonzalez</t>
  </si>
  <si>
    <t>Jones and Jones, Turner</t>
  </si>
  <si>
    <t>brUcE gOnzaleS</t>
  </si>
  <si>
    <t>Rebecca Morgan</t>
  </si>
  <si>
    <t>Spears-Shah</t>
  </si>
  <si>
    <t>rOBert WAlsH</t>
  </si>
  <si>
    <t>Sabrina Rogers</t>
  </si>
  <si>
    <t>and Anderson Smith Sanchez,</t>
  </si>
  <si>
    <t>lIsA LeWis</t>
  </si>
  <si>
    <t>Kevin Brown</t>
  </si>
  <si>
    <t>Tran, and Ferrell Garcia</t>
  </si>
  <si>
    <t>WiLlIaM RUiZ</t>
  </si>
  <si>
    <t>Sarah Cole</t>
  </si>
  <si>
    <t>Ltd Walton</t>
  </si>
  <si>
    <t>StEven BALdWIn</t>
  </si>
  <si>
    <t>Jennifer Hall</t>
  </si>
  <si>
    <t>Group Rodriguez</t>
  </si>
  <si>
    <t>meGAn CoLON</t>
  </si>
  <si>
    <t>Emily Cruz</t>
  </si>
  <si>
    <t>Carr LLC</t>
  </si>
  <si>
    <t>kImbErlY brOoks</t>
  </si>
  <si>
    <t>Michael Anderson</t>
  </si>
  <si>
    <t>Rodriguez-Guerra</t>
  </si>
  <si>
    <t>EdWARd SMiTh jR.</t>
  </si>
  <si>
    <t>Natalie Sellers</t>
  </si>
  <si>
    <t>Sullivan Mullins, Macias and</t>
  </si>
  <si>
    <t>aLliSoN CorDoVA</t>
  </si>
  <si>
    <t>Patrick Ochoa</t>
  </si>
  <si>
    <t>Ballard PLC</t>
  </si>
  <si>
    <t>lINdA THOMAs</t>
  </si>
  <si>
    <t>Daniel Rodgers</t>
  </si>
  <si>
    <t>Liu-Wilson</t>
  </si>
  <si>
    <t>paRkEr moOrE</t>
  </si>
  <si>
    <t>Taylor Baldwin</t>
  </si>
  <si>
    <t>LLC Lewis</t>
  </si>
  <si>
    <t>tanya SOto</t>
  </si>
  <si>
    <t>Adam Ross</t>
  </si>
  <si>
    <t>Stokes Chambers and Martin,</t>
  </si>
  <si>
    <t>mIChaEL jOrdaN</t>
  </si>
  <si>
    <t>Amy Williams</t>
  </si>
  <si>
    <t>Hernandez-Green</t>
  </si>
  <si>
    <t>ChRiSTINA MArTin</t>
  </si>
  <si>
    <t>Martha Graham</t>
  </si>
  <si>
    <t>Inc Lee</t>
  </si>
  <si>
    <t>TrACy BUrke</t>
  </si>
  <si>
    <t>Emily Thomas</t>
  </si>
  <si>
    <t>Wilkins Group</t>
  </si>
  <si>
    <t>daVID SPeNCE</t>
  </si>
  <si>
    <t>Terrance Rosales</t>
  </si>
  <si>
    <t>Valentine Ltd</t>
  </si>
  <si>
    <t>JOsEph fOstER</t>
  </si>
  <si>
    <t>Daniel Smith</t>
  </si>
  <si>
    <t>Alvarado-Deleon</t>
  </si>
  <si>
    <t>NIcholAs haLl</t>
  </si>
  <si>
    <t>Marissa Stevenson</t>
  </si>
  <si>
    <t>Alexander and Jensen Andrews,</t>
  </si>
  <si>
    <t>ChriSTiNA maCiAS</t>
  </si>
  <si>
    <t>Katie Fitzpatrick</t>
  </si>
  <si>
    <t>and Black, Henson Rhodes</t>
  </si>
  <si>
    <t>scoTT JoNes</t>
  </si>
  <si>
    <t>Dennis Small</t>
  </si>
  <si>
    <t>Sons and Marshall</t>
  </si>
  <si>
    <t>jaMEs AnDerSon</t>
  </si>
  <si>
    <t>Chris Holt</t>
  </si>
  <si>
    <t>Rodriguez-Franco</t>
  </si>
  <si>
    <t>sHaUN LonG</t>
  </si>
  <si>
    <t>Jenny Griffith</t>
  </si>
  <si>
    <t>Fritz Henderson Stanton, and</t>
  </si>
  <si>
    <t>krIStInA morA</t>
  </si>
  <si>
    <t>Gregory Lambert</t>
  </si>
  <si>
    <t>West-Young</t>
  </si>
  <si>
    <t>joshUa rIcHmOnd</t>
  </si>
  <si>
    <t>Michael Armstrong</t>
  </si>
  <si>
    <t>Ltd Solis</t>
  </si>
  <si>
    <t>Mark lAWrencE</t>
  </si>
  <si>
    <t>Melissa Terry</t>
  </si>
  <si>
    <t>Mcneil-Blake</t>
  </si>
  <si>
    <t>JOhN eLlis</t>
  </si>
  <si>
    <t>Thomas Bruce</t>
  </si>
  <si>
    <t>Moore-Waters</t>
  </si>
  <si>
    <t>MRs. TiFFAny DeNnIs</t>
  </si>
  <si>
    <t>James James DVM</t>
  </si>
  <si>
    <t>Group Scott</t>
  </si>
  <si>
    <t>cyNTHIa HuANG</t>
  </si>
  <si>
    <t>Sean Smith</t>
  </si>
  <si>
    <t>and Simmons Sons</t>
  </si>
  <si>
    <t>meLiSSA LawRENcE</t>
  </si>
  <si>
    <t>John Hansen</t>
  </si>
  <si>
    <t>Humphrey and Browning Fitzgerald,</t>
  </si>
  <si>
    <t>STEvEn goodwIN</t>
  </si>
  <si>
    <t>Teresa Mccarthy</t>
  </si>
  <si>
    <t>Adams-Molina</t>
  </si>
  <si>
    <t>mARY HuNT</t>
  </si>
  <si>
    <t>Stephanie Barnett</t>
  </si>
  <si>
    <t>Guzman LLC</t>
  </si>
  <si>
    <t>ERic riveRa</t>
  </si>
  <si>
    <t>Mr. Luke Nunez Jr.</t>
  </si>
  <si>
    <t>Gonzalez-Pacheco</t>
  </si>
  <si>
    <t>ALAn tayLor</t>
  </si>
  <si>
    <t>Stacy Stewart</t>
  </si>
  <si>
    <t>Hunt, Carlson and Cherry</t>
  </si>
  <si>
    <t>mIcHaEL cAMPbeLl</t>
  </si>
  <si>
    <t>Andrea Oneal</t>
  </si>
  <si>
    <t>Ltd Barnes</t>
  </si>
  <si>
    <t>asHLEY webb ddS</t>
  </si>
  <si>
    <t>Eric Coleman</t>
  </si>
  <si>
    <t>Gordon, Fox Lane and</t>
  </si>
  <si>
    <t>SHaNNON broWn</t>
  </si>
  <si>
    <t>Anthony Barnes</t>
  </si>
  <si>
    <t>Petersen Ltd</t>
  </si>
  <si>
    <t>LAwrenCE shEPherD</t>
  </si>
  <si>
    <t>Michael Hickman</t>
  </si>
  <si>
    <t>and Mcdonald Sons</t>
  </si>
  <si>
    <t>scoTt wADE</t>
  </si>
  <si>
    <t>Dustin Wolf</t>
  </si>
  <si>
    <t>Smith, Elliott and Blackburn</t>
  </si>
  <si>
    <t>heAthER curTis</t>
  </si>
  <si>
    <t>Amanda Wells</t>
  </si>
  <si>
    <t>PLC Oliver</t>
  </si>
  <si>
    <t>kEvIN jEFFeRsON</t>
  </si>
  <si>
    <t>Jason Miller</t>
  </si>
  <si>
    <t>Griffin and Lyons Rivers,</t>
  </si>
  <si>
    <t>dAvId gRifFIn</t>
  </si>
  <si>
    <t>Holly James</t>
  </si>
  <si>
    <t>Craig-Garcia</t>
  </si>
  <si>
    <t>GRanT GeoRge</t>
  </si>
  <si>
    <t>April Cox</t>
  </si>
  <si>
    <t>Baker-Jones</t>
  </si>
  <si>
    <t>eRIc SteWART</t>
  </si>
  <si>
    <t>Virginia Lynch</t>
  </si>
  <si>
    <t>Duffy-Kelly</t>
  </si>
  <si>
    <t>RoBErt pittmAn</t>
  </si>
  <si>
    <t>Patricia Fuller</t>
  </si>
  <si>
    <t>Rodriguez-Becker</t>
  </si>
  <si>
    <t>SYdNey Cross</t>
  </si>
  <si>
    <t>Michelle Ward</t>
  </si>
  <si>
    <t>Group Brown</t>
  </si>
  <si>
    <t>DaviD CrawfoRD</t>
  </si>
  <si>
    <t>Robin Adams</t>
  </si>
  <si>
    <t>Powers-Vincent</t>
  </si>
  <si>
    <t>LEAH DRaKE</t>
  </si>
  <si>
    <t>Emily Morales</t>
  </si>
  <si>
    <t>and Ramos Brown Edwards,</t>
  </si>
  <si>
    <t>DiAna hALL</t>
  </si>
  <si>
    <t>Adriana Morrow</t>
  </si>
  <si>
    <t>Johnson Group</t>
  </si>
  <si>
    <t>JUsTIN lE</t>
  </si>
  <si>
    <t>Michael Mitchell</t>
  </si>
  <si>
    <t>Atkins Inc</t>
  </si>
  <si>
    <t>KaREn pricE dDs</t>
  </si>
  <si>
    <t>Caroline Choi</t>
  </si>
  <si>
    <t>Marshall LLC</t>
  </si>
  <si>
    <t>CaROlYN sTEeLE</t>
  </si>
  <si>
    <t>Michael Robinson</t>
  </si>
  <si>
    <t>Ltd Cruz</t>
  </si>
  <si>
    <t>LAURen RAMireZ</t>
  </si>
  <si>
    <t>Heather Miller</t>
  </si>
  <si>
    <t>Harrison-Parker</t>
  </si>
  <si>
    <t>jAcOb nEWman</t>
  </si>
  <si>
    <t>Howard Obrien</t>
  </si>
  <si>
    <t>Lee-Clayton</t>
  </si>
  <si>
    <t>KAThErInE BARnEtt</t>
  </si>
  <si>
    <t>Faith Cook</t>
  </si>
  <si>
    <t>Mcdaniel and Sons</t>
  </si>
  <si>
    <t>JODI martiNeZ</t>
  </si>
  <si>
    <t>Donna Colon</t>
  </si>
  <si>
    <t>Inc Lynch</t>
  </si>
  <si>
    <t>andrEa aLlEN</t>
  </si>
  <si>
    <t>David Lindsey</t>
  </si>
  <si>
    <t>and Mendoza Rich Morales,</t>
  </si>
  <si>
    <t>nOah baxtEr</t>
  </si>
  <si>
    <t>Anthony Nixon</t>
  </si>
  <si>
    <t>Proctor-Jones</t>
  </si>
  <si>
    <t>hECTOR MAXweLL</t>
  </si>
  <si>
    <t>Doris Hawkins</t>
  </si>
  <si>
    <t>and Ramirez Figueroa May,</t>
  </si>
  <si>
    <t>holLy WALters</t>
  </si>
  <si>
    <t>Caleb James</t>
  </si>
  <si>
    <t>Michael-Jenkins</t>
  </si>
  <si>
    <t>JOsepH SmIth</t>
  </si>
  <si>
    <t>Patricia Moore</t>
  </si>
  <si>
    <t>Hardy Inc</t>
  </si>
  <si>
    <t>albERt tHOmAS</t>
  </si>
  <si>
    <t>Matthew Gray</t>
  </si>
  <si>
    <t>Turner, and Williams Mercado</t>
  </si>
  <si>
    <t>jeFfErY WIlliaMSOn</t>
  </si>
  <si>
    <t>Justin Lowe</t>
  </si>
  <si>
    <t>PLC Williams</t>
  </si>
  <si>
    <t>joNAthAn meADOWS</t>
  </si>
  <si>
    <t>Danny Mcdonald</t>
  </si>
  <si>
    <t>kRIStIN BeNnETT</t>
  </si>
  <si>
    <t>Gina Weaver</t>
  </si>
  <si>
    <t>Merritt-Gray</t>
  </si>
  <si>
    <t>miCHaEl SmITh</t>
  </si>
  <si>
    <t>Eddie Jackson</t>
  </si>
  <si>
    <t>Huang Travis Thomas, and</t>
  </si>
  <si>
    <t>JOSepH cARpenteR</t>
  </si>
  <si>
    <t>Miss Valerie Saunders MD</t>
  </si>
  <si>
    <t>Rodriguez-Zimmerman</t>
  </si>
  <si>
    <t>larRy MaYEr</t>
  </si>
  <si>
    <t>Richard Petty</t>
  </si>
  <si>
    <t>Miller PLC</t>
  </si>
  <si>
    <t>CLaYTON PEterSon</t>
  </si>
  <si>
    <t>Patricia Bean</t>
  </si>
  <si>
    <t>May, Mullins and Martin</t>
  </si>
  <si>
    <t>donaLD aLVArEZ</t>
  </si>
  <si>
    <t>Ronald Jones</t>
  </si>
  <si>
    <t>Moore-Robbins</t>
  </si>
  <si>
    <t>SaRAh leE</t>
  </si>
  <si>
    <t>Jack Wall</t>
  </si>
  <si>
    <t>Ltd Howard</t>
  </si>
  <si>
    <t>joHN peReZ</t>
  </si>
  <si>
    <t>Felicia Morrison</t>
  </si>
  <si>
    <t>Group Crosby</t>
  </si>
  <si>
    <t>Timothy jAcobS</t>
  </si>
  <si>
    <t>Crystal Schultz</t>
  </si>
  <si>
    <t>Cook Ltd</t>
  </si>
  <si>
    <t>nAThaN sMall</t>
  </si>
  <si>
    <t>Bailey Gonzalez</t>
  </si>
  <si>
    <t>Rivas, Mcconnell Hill and</t>
  </si>
  <si>
    <t>dUSTin WriGhT</t>
  </si>
  <si>
    <t>Michael Guzman</t>
  </si>
  <si>
    <t>Conner-Flores</t>
  </si>
  <si>
    <t>jacOb wilLiAMS</t>
  </si>
  <si>
    <t>Elizabeth Flowers</t>
  </si>
  <si>
    <t>Suarez-Nelson</t>
  </si>
  <si>
    <t>wiLlIAm mcCOY</t>
  </si>
  <si>
    <t>Whitney Vaughan</t>
  </si>
  <si>
    <t>and Walker Glenn, Long</t>
  </si>
  <si>
    <t>dr. MATthEW wilkinS</t>
  </si>
  <si>
    <t>Seth Nelson</t>
  </si>
  <si>
    <t>PLC Anderson</t>
  </si>
  <si>
    <t>JosEpH gONZaLeZ</t>
  </si>
  <si>
    <t>Erin Wright</t>
  </si>
  <si>
    <t>Blackwell-Gamble</t>
  </si>
  <si>
    <t>rObErt fiElDS</t>
  </si>
  <si>
    <t>Jennifer Flores</t>
  </si>
  <si>
    <t>Wagner PLC</t>
  </si>
  <si>
    <t>lawrencE mIRAndA</t>
  </si>
  <si>
    <t>Brandi Knight</t>
  </si>
  <si>
    <t>Goodman-Kelly</t>
  </si>
  <si>
    <t>mitCheLl caRrOlL</t>
  </si>
  <si>
    <t>Chad Irwin</t>
  </si>
  <si>
    <t>and Boyd Powell, Sims</t>
  </si>
  <si>
    <t>COdY nIcHoLs</t>
  </si>
  <si>
    <t>Victoria Williams</t>
  </si>
  <si>
    <t>and Conrad Boyd, Burnett</t>
  </si>
  <si>
    <t>KELlI tHompSOn</t>
  </si>
  <si>
    <t>Travis Walton</t>
  </si>
  <si>
    <t>Ayala-Armstrong</t>
  </si>
  <si>
    <t>dAnIElle lOPeZ</t>
  </si>
  <si>
    <t>Catherine Hernandez</t>
  </si>
  <si>
    <t>and Lambert White, Vargas</t>
  </si>
  <si>
    <t>melINda JONES</t>
  </si>
  <si>
    <t>Kristen Johnson</t>
  </si>
  <si>
    <t>Group Doyle</t>
  </si>
  <si>
    <t>KRiSTIN sMith</t>
  </si>
  <si>
    <t>Tammy Chavez</t>
  </si>
  <si>
    <t>Henderson-Johnson</t>
  </si>
  <si>
    <t>StEphaniE REYNolDs</t>
  </si>
  <si>
    <t>Savannah Colon</t>
  </si>
  <si>
    <t>Baker Conrad and Andrews,</t>
  </si>
  <si>
    <t>AnNA NORMaN</t>
  </si>
  <si>
    <t>Jessica Parks MD</t>
  </si>
  <si>
    <t>Perkins, Salazar and Johnson</t>
  </si>
  <si>
    <t>MAria haYeS</t>
  </si>
  <si>
    <t>Joshua Singleton</t>
  </si>
  <si>
    <t>Johnson-Perez</t>
  </si>
  <si>
    <t>toNya riLEy mD</t>
  </si>
  <si>
    <t>Vincent Ramirez</t>
  </si>
  <si>
    <t>Powell-Werner</t>
  </si>
  <si>
    <t>REgiNa DUnn</t>
  </si>
  <si>
    <t>Natasha Smith</t>
  </si>
  <si>
    <t>Morales Group</t>
  </si>
  <si>
    <t>mIcHael JACoBS</t>
  </si>
  <si>
    <t>John Sparks</t>
  </si>
  <si>
    <t>and Fernandez, Wilson Morrison</t>
  </si>
  <si>
    <t>jaSon mOOrE md</t>
  </si>
  <si>
    <t>Michelle Gutierrez</t>
  </si>
  <si>
    <t>Mayo and Sons</t>
  </si>
  <si>
    <t>eRiC HALl</t>
  </si>
  <si>
    <t>Rachel Williams</t>
  </si>
  <si>
    <t>Huffman Hall Orozco, and</t>
  </si>
  <si>
    <t>MALIk MARtINeZ</t>
  </si>
  <si>
    <t>Sergio Shelton</t>
  </si>
  <si>
    <t>White-Buchanan</t>
  </si>
  <si>
    <t>LisA KENNEdY</t>
  </si>
  <si>
    <t>Mr. Michael White MD</t>
  </si>
  <si>
    <t>and Dixon Taylor Hunter,</t>
  </si>
  <si>
    <t>kRIstIn ocHOA</t>
  </si>
  <si>
    <t>Mary Drake</t>
  </si>
  <si>
    <t>Anderson and Medina, Sullivan</t>
  </si>
  <si>
    <t>joSeph ZuNiGA</t>
  </si>
  <si>
    <t>Tonya Wade</t>
  </si>
  <si>
    <t>PLC Dixon</t>
  </si>
  <si>
    <t>kYLe TYlER</t>
  </si>
  <si>
    <t>Charles Torres</t>
  </si>
  <si>
    <t>Bowman-Keith</t>
  </si>
  <si>
    <t>eric duNCan</t>
  </si>
  <si>
    <t>Jennifer Freeman</t>
  </si>
  <si>
    <t>Tyler PLC</t>
  </si>
  <si>
    <t>raChel roMERo</t>
  </si>
  <si>
    <t>Reginald Becker</t>
  </si>
  <si>
    <t>Velazquez-Patton</t>
  </si>
  <si>
    <t>mIcHael anDeRson</t>
  </si>
  <si>
    <t>Charles Webb</t>
  </si>
  <si>
    <t>Bass Inc</t>
  </si>
  <si>
    <t>emILY clARK</t>
  </si>
  <si>
    <t>Emily Perez</t>
  </si>
  <si>
    <t>Newton, Smith Ruiz and</t>
  </si>
  <si>
    <t>danIeL mCKINnEy</t>
  </si>
  <si>
    <t>Rachel Thomas</t>
  </si>
  <si>
    <t>Graham-Fisher</t>
  </si>
  <si>
    <t>BOnnIe WILlIaMS</t>
  </si>
  <si>
    <t>Christopher Flores</t>
  </si>
  <si>
    <t>Scott Ltd</t>
  </si>
  <si>
    <t>MARcUs henry</t>
  </si>
  <si>
    <t>Jennifer Stevenson</t>
  </si>
  <si>
    <t>Rosales-Sweeney</t>
  </si>
  <si>
    <t>katheRiNE HART</t>
  </si>
  <si>
    <t>Matthew Garcia</t>
  </si>
  <si>
    <t>Larson Andrews, and Lynch</t>
  </si>
  <si>
    <t>MIchelle pIeRCE</t>
  </si>
  <si>
    <t>Brett Meyer</t>
  </si>
  <si>
    <t>PLC York</t>
  </si>
  <si>
    <t>Julie Mejia</t>
  </si>
  <si>
    <t>David Murphy</t>
  </si>
  <si>
    <t>Kelly-Watson</t>
  </si>
  <si>
    <t>cAMeRoN sAnChEz</t>
  </si>
  <si>
    <t>Erin Henson</t>
  </si>
  <si>
    <t>Smith Gonzalez Robinson, and</t>
  </si>
  <si>
    <t>davId Vincent</t>
  </si>
  <si>
    <t>Katrina Fuentes</t>
  </si>
  <si>
    <t>Cook-Taylor</t>
  </si>
  <si>
    <t>MeLiSSA gOMez</t>
  </si>
  <si>
    <t>Harold Jackson</t>
  </si>
  <si>
    <t>Robinson-Reyes</t>
  </si>
  <si>
    <t>AMAnDa pONCe</t>
  </si>
  <si>
    <t>Christopher Merritt</t>
  </si>
  <si>
    <t>Reid Inc</t>
  </si>
  <si>
    <t>CArOl GOMEz</t>
  </si>
  <si>
    <t>Haley Kim</t>
  </si>
  <si>
    <t>Kemp and Taylor, Jones</t>
  </si>
  <si>
    <t>cHRISTopHEr PalmER</t>
  </si>
  <si>
    <t>Dr. Steven Johnson</t>
  </si>
  <si>
    <t>Richards-Mack</t>
  </si>
  <si>
    <t>PAUL Hahn</t>
  </si>
  <si>
    <t>Erin Cole</t>
  </si>
  <si>
    <t>and Smith Harmon, Marshall</t>
  </si>
  <si>
    <t>aSHLeY MOORe</t>
  </si>
  <si>
    <t>Breanna Nielsen</t>
  </si>
  <si>
    <t>Velasquez and Walker Russo,</t>
  </si>
  <si>
    <t>lINDa haMiLTOn</t>
  </si>
  <si>
    <t>Harrington, and Owens Preston</t>
  </si>
  <si>
    <t>robiN coX</t>
  </si>
  <si>
    <t>Frank Gonzalez</t>
  </si>
  <si>
    <t>Downs PLC</t>
  </si>
  <si>
    <t>AnthoNY HalL</t>
  </si>
  <si>
    <t>Matthew Williams</t>
  </si>
  <si>
    <t>Zhang Long Eaton, and</t>
  </si>
  <si>
    <t>roberT smitH</t>
  </si>
  <si>
    <t>Jonathan Gray</t>
  </si>
  <si>
    <t>PLC Mills</t>
  </si>
  <si>
    <t>dEREK CARTER</t>
  </si>
  <si>
    <t>Timothy Rodriguez</t>
  </si>
  <si>
    <t>Hoffman Cox Mcdonald, and</t>
  </si>
  <si>
    <t>HEAthER MAY</t>
  </si>
  <si>
    <t>Victor Welch</t>
  </si>
  <si>
    <t>Carpenter and Sons</t>
  </si>
  <si>
    <t>pETer gOnzAlEZ</t>
  </si>
  <si>
    <t>Robert Adams MD</t>
  </si>
  <si>
    <t>Collins and Moore Chan,</t>
  </si>
  <si>
    <t>chrIs flEtCheR</t>
  </si>
  <si>
    <t>Andrew Jefferson</t>
  </si>
  <si>
    <t>and Wood Lewis, Monroe</t>
  </si>
  <si>
    <t>sHIRley wiLkinsoN</t>
  </si>
  <si>
    <t>Sharon Hensley</t>
  </si>
  <si>
    <t>and Keller, Ortega Miller</t>
  </si>
  <si>
    <t>COurtNey FaRRelL</t>
  </si>
  <si>
    <t>Eugene Branch</t>
  </si>
  <si>
    <t>Austin, and Reynolds Duran</t>
  </si>
  <si>
    <t>aNDReA WiLliS</t>
  </si>
  <si>
    <t>Anthony Greer</t>
  </si>
  <si>
    <t>Lopez LLC</t>
  </si>
  <si>
    <t>cHAD huFF</t>
  </si>
  <si>
    <t>Bob Moyer</t>
  </si>
  <si>
    <t>Clark-Tran</t>
  </si>
  <si>
    <t>dEvin giLBert</t>
  </si>
  <si>
    <t>Heather Shea</t>
  </si>
  <si>
    <t>Villanueva and Carter Hughes,</t>
  </si>
  <si>
    <t>DOnALD davIS</t>
  </si>
  <si>
    <t>Nicholas Stevenson</t>
  </si>
  <si>
    <t>Ltd Osborn</t>
  </si>
  <si>
    <t>KUrT murphy</t>
  </si>
  <si>
    <t>Laura Guerra</t>
  </si>
  <si>
    <t>LLC Hodge</t>
  </si>
  <si>
    <t>SYlvia wEsT</t>
  </si>
  <si>
    <t>Michele Bradford</t>
  </si>
  <si>
    <t>Lopez and Shepard Smith,</t>
  </si>
  <si>
    <t>DONaLd vAZQuEZ</t>
  </si>
  <si>
    <t>Mr. Jesse Cook</t>
  </si>
  <si>
    <t>Moss and Meadows Jones,</t>
  </si>
  <si>
    <t>REbeCCA rUsH</t>
  </si>
  <si>
    <t>Heather Simon</t>
  </si>
  <si>
    <t>Young-Williams</t>
  </si>
  <si>
    <t>ChrIstoPhER curRY</t>
  </si>
  <si>
    <t>Larry Mendez</t>
  </si>
  <si>
    <t>Bailey Morgan Frey, and</t>
  </si>
  <si>
    <t>miCHaeL EdwARds</t>
  </si>
  <si>
    <t>Taylor Smith</t>
  </si>
  <si>
    <t>Neal Price and Smith,</t>
  </si>
  <si>
    <t>cHriSTOPheR ARnoLd</t>
  </si>
  <si>
    <t>Ian Singleton</t>
  </si>
  <si>
    <t>and Johnson Hobbs Owens,</t>
  </si>
  <si>
    <t>RAcheL hickmAn</t>
  </si>
  <si>
    <t>Angela Burton</t>
  </si>
  <si>
    <t>Melton Inc</t>
  </si>
  <si>
    <t>ashlEY grAy</t>
  </si>
  <si>
    <t>Lisa Payne</t>
  </si>
  <si>
    <t>and Weber Sons</t>
  </si>
  <si>
    <t>eLiZaBeTh PeREz</t>
  </si>
  <si>
    <t>Sara Perry</t>
  </si>
  <si>
    <t>Chung Rodriguez Bradley, and</t>
  </si>
  <si>
    <t>ANgeL RaNDOlPH ddS</t>
  </si>
  <si>
    <t>Ann Brown</t>
  </si>
  <si>
    <t>White Wilson and Farmer,</t>
  </si>
  <si>
    <t>maRk SaUNderS</t>
  </si>
  <si>
    <t>David Marshall</t>
  </si>
  <si>
    <t>Group Thompson</t>
  </si>
  <si>
    <t>ChriSTiAn lAnG</t>
  </si>
  <si>
    <t>Shirley Dawson</t>
  </si>
  <si>
    <t>and Sons Rangel</t>
  </si>
  <si>
    <t>Pam perKIns</t>
  </si>
  <si>
    <t>Susan Hernandez</t>
  </si>
  <si>
    <t>Travis, and Richardson Hampton</t>
  </si>
  <si>
    <t>kAyLA GrEENe</t>
  </si>
  <si>
    <t>Gina Edwards</t>
  </si>
  <si>
    <t>and Wilson Matthews, Faulkner</t>
  </si>
  <si>
    <t>mIcHAEl daVId</t>
  </si>
  <si>
    <t>Laura Howell</t>
  </si>
  <si>
    <t>Group Bailey</t>
  </si>
  <si>
    <t>aLeXIs mCcALl</t>
  </si>
  <si>
    <t>Scott Beltran</t>
  </si>
  <si>
    <t>Rosales-Johnson</t>
  </si>
  <si>
    <t>mr. brandON perEz md</t>
  </si>
  <si>
    <t>William Campbell</t>
  </si>
  <si>
    <t>Bush-Brown</t>
  </si>
  <si>
    <t>dr. jeffREy ColE</t>
  </si>
  <si>
    <t>Ethan Brock</t>
  </si>
  <si>
    <t>Saunders-Smith</t>
  </si>
  <si>
    <t>maTthEw broWN</t>
  </si>
  <si>
    <t>Nicholas Gomez</t>
  </si>
  <si>
    <t>and Mckay, Morrow Myers</t>
  </si>
  <si>
    <t>RoBErT sExtON</t>
  </si>
  <si>
    <t>Richard Buchanan</t>
  </si>
  <si>
    <t>Sherman-Martinez</t>
  </si>
  <si>
    <t>ashLEy vasQUEZ</t>
  </si>
  <si>
    <t>David Gonzalez</t>
  </si>
  <si>
    <t>Baker, Weber Patton and</t>
  </si>
  <si>
    <t>mIcHelLe FLYnn</t>
  </si>
  <si>
    <t>Kristin Schmitt</t>
  </si>
  <si>
    <t>and Fitzgerald Shaw, Edwards</t>
  </si>
  <si>
    <t>StEVEn trAn</t>
  </si>
  <si>
    <t>Kelly King</t>
  </si>
  <si>
    <t>Kim-Higgins</t>
  </si>
  <si>
    <t>JAMeS MilLeR</t>
  </si>
  <si>
    <t>Jeffery Morgan</t>
  </si>
  <si>
    <t>Morgan, Kramer Munoz and</t>
  </si>
  <si>
    <t>Bonnie hiLl</t>
  </si>
  <si>
    <t>Patricia Fowler</t>
  </si>
  <si>
    <t>Harvey Group</t>
  </si>
  <si>
    <t>AnTHONy DaviS</t>
  </si>
  <si>
    <t>David Patterson</t>
  </si>
  <si>
    <t>Mercer-Rogers</t>
  </si>
  <si>
    <t>DaViD ShEPPArD</t>
  </si>
  <si>
    <t>Daisy Eaton</t>
  </si>
  <si>
    <t>Duran Sons and</t>
  </si>
  <si>
    <t>JOdi LAnG</t>
  </si>
  <si>
    <t>Benjamin Bryant</t>
  </si>
  <si>
    <t>Vaughan Parker and Wagner,</t>
  </si>
  <si>
    <t>VaNeSSa TAylor</t>
  </si>
  <si>
    <t>Cynthia Velazquez</t>
  </si>
  <si>
    <t>Lee-Jacobson</t>
  </si>
  <si>
    <t>WAYnE lyncH</t>
  </si>
  <si>
    <t>William Brock</t>
  </si>
  <si>
    <t>Hayes Robbins and Gallagher,</t>
  </si>
  <si>
    <t>YEsENiA MCfarland</t>
  </si>
  <si>
    <t>Douglas Lambert</t>
  </si>
  <si>
    <t>Evans and Byrd, Smith</t>
  </si>
  <si>
    <t>KEnNETH WilSON</t>
  </si>
  <si>
    <t>Alex Mcknight</t>
  </si>
  <si>
    <t>and Howell Sons</t>
  </si>
  <si>
    <t>JIlLiAn MArks</t>
  </si>
  <si>
    <t>Gregory Fox</t>
  </si>
  <si>
    <t>Clements and Scott, Peters</t>
  </si>
  <si>
    <t>MiCHELLe cruz ddS</t>
  </si>
  <si>
    <t>Carrie Navarro</t>
  </si>
  <si>
    <t>Gomez-Olson</t>
  </si>
  <si>
    <t>CLaREnce fORD jr.</t>
  </si>
  <si>
    <t>Laura Murillo</t>
  </si>
  <si>
    <t>and Medina Morgan, Whitehead</t>
  </si>
  <si>
    <t>DonAlD kaNe</t>
  </si>
  <si>
    <t>Alyssa Walsh</t>
  </si>
  <si>
    <t>Miller LLC</t>
  </si>
  <si>
    <t>ZaChaRY LARsEN</t>
  </si>
  <si>
    <t>Jeff Barton</t>
  </si>
  <si>
    <t>Jones-Aguirre</t>
  </si>
  <si>
    <t>sHeRYl MaRTinez</t>
  </si>
  <si>
    <t>Ricky Anderson</t>
  </si>
  <si>
    <t>PLC Gonzalez</t>
  </si>
  <si>
    <t>mr. NaTHAN avILA</t>
  </si>
  <si>
    <t>John Hurst</t>
  </si>
  <si>
    <t>and Davies Sons</t>
  </si>
  <si>
    <t>aNnE aNTHONY</t>
  </si>
  <si>
    <t>Cristina Wyatt</t>
  </si>
  <si>
    <t>Soto-Richmond</t>
  </si>
  <si>
    <t>hOlly LaMBERt</t>
  </si>
  <si>
    <t>Christina Fowler</t>
  </si>
  <si>
    <t>and Morrison Ho Woods,</t>
  </si>
  <si>
    <t>JAmes rASmuSsen</t>
  </si>
  <si>
    <t>Gary Barr</t>
  </si>
  <si>
    <t>Lewis and Sons</t>
  </si>
  <si>
    <t>SaRAH cannON</t>
  </si>
  <si>
    <t>Frederick Whitney</t>
  </si>
  <si>
    <t>Wood-Sandoval</t>
  </si>
  <si>
    <t>melInda tannER</t>
  </si>
  <si>
    <t>Mary Miller</t>
  </si>
  <si>
    <t>Ball LLC</t>
  </si>
  <si>
    <t>LauriE josEPh</t>
  </si>
  <si>
    <t>Evan Lewis</t>
  </si>
  <si>
    <t>Scott LLC</t>
  </si>
  <si>
    <t>stEPHAnIe hUnteR</t>
  </si>
  <si>
    <t>Adrienne Howard</t>
  </si>
  <si>
    <t>and Wright, Long Schroeder</t>
  </si>
  <si>
    <t>gIna daviS</t>
  </si>
  <si>
    <t>Daniel Jones</t>
  </si>
  <si>
    <t>Ltd Crawford</t>
  </si>
  <si>
    <t>chRiStoPheR sHEA Jr.</t>
  </si>
  <si>
    <t>Craig Wolfe</t>
  </si>
  <si>
    <t>Group Moore</t>
  </si>
  <si>
    <t>MrS. SabRIna BaLL</t>
  </si>
  <si>
    <t>Tina Griffin</t>
  </si>
  <si>
    <t>Burch-Marks</t>
  </si>
  <si>
    <t>JoyCe McCoRmIcK</t>
  </si>
  <si>
    <t>Koch-Alvarado</t>
  </si>
  <si>
    <t>DEVIN bElL</t>
  </si>
  <si>
    <t>Trevor Evans</t>
  </si>
  <si>
    <t>Garcia Edwards and Daniel,</t>
  </si>
  <si>
    <t>alLISoN rAmiREZ</t>
  </si>
  <si>
    <t>Mark Johnson</t>
  </si>
  <si>
    <t>Carter-Camacho</t>
  </si>
  <si>
    <t>lauRA roMERO</t>
  </si>
  <si>
    <t>James Hays</t>
  </si>
  <si>
    <t>Malone LLC</t>
  </si>
  <si>
    <t>TONi fAULKNer</t>
  </si>
  <si>
    <t>Nicholas Ferguson</t>
  </si>
  <si>
    <t>Zamora PLC</t>
  </si>
  <si>
    <t>patrIcia tuRnEr</t>
  </si>
  <si>
    <t>Mr. Jeffrey Powell</t>
  </si>
  <si>
    <t>Ltd Hernandez</t>
  </si>
  <si>
    <t>naThaN rAy</t>
  </si>
  <si>
    <t>Timothy Carter</t>
  </si>
  <si>
    <t>Gomez Ray, and Jones</t>
  </si>
  <si>
    <t>RYan sAnCHeZ</t>
  </si>
  <si>
    <t>Jennifer Gonzales</t>
  </si>
  <si>
    <t>Davis, Ray and Thompson</t>
  </si>
  <si>
    <t>tHOMas DENnIs</t>
  </si>
  <si>
    <t>Leonard Chen</t>
  </si>
  <si>
    <t>Mckinney-Edwards</t>
  </si>
  <si>
    <t>mR. timOtHY FLoRES</t>
  </si>
  <si>
    <t>Margaret Ramos</t>
  </si>
  <si>
    <t>Parker-Shannon</t>
  </si>
  <si>
    <t>WeNDy lEVIne</t>
  </si>
  <si>
    <t>Joy Davis</t>
  </si>
  <si>
    <t>Lawrence LLC</t>
  </si>
  <si>
    <t>nicOLe gOnzAleZ</t>
  </si>
  <si>
    <t>Mary Mckee</t>
  </si>
  <si>
    <t>and Thompson Burke, Harrington</t>
  </si>
  <si>
    <t>miCHaeL eLlIsoN</t>
  </si>
  <si>
    <t>John Evans</t>
  </si>
  <si>
    <t>Johnson Goodman Clark, and</t>
  </si>
  <si>
    <t>BRAndON dAVIS</t>
  </si>
  <si>
    <t>Benjamin Payne</t>
  </si>
  <si>
    <t>Doyle Hess, and Dudley</t>
  </si>
  <si>
    <t>vaNESsa GArCia</t>
  </si>
  <si>
    <t>Jeanne Allen</t>
  </si>
  <si>
    <t>Bass PLC</t>
  </si>
  <si>
    <t>AUtUmn PEck</t>
  </si>
  <si>
    <t>Kelly Jackson</t>
  </si>
  <si>
    <t>Willis and Hunt Pope,</t>
  </si>
  <si>
    <t>NAthAnIEL REynoLdS</t>
  </si>
  <si>
    <t>Michael Barber</t>
  </si>
  <si>
    <t>Gray, Hensley and Hanson</t>
  </si>
  <si>
    <t>JOYCE MoOdY</t>
  </si>
  <si>
    <t>Steven Clark</t>
  </si>
  <si>
    <t>Moore-Woods</t>
  </si>
  <si>
    <t>MaRK FuEnTes</t>
  </si>
  <si>
    <t>Amy Bailey</t>
  </si>
  <si>
    <t>Moore-Franco</t>
  </si>
  <si>
    <t>brETT FerGusoN</t>
  </si>
  <si>
    <t>Cody Houston</t>
  </si>
  <si>
    <t>Hamilton and Sons</t>
  </si>
  <si>
    <t>TravIS SiMMOnS</t>
  </si>
  <si>
    <t>Gregory Nichols</t>
  </si>
  <si>
    <t>Burke Group</t>
  </si>
  <si>
    <t>jEremY fRye</t>
  </si>
  <si>
    <t>Christopher Odom</t>
  </si>
  <si>
    <t>Anderson LLC</t>
  </si>
  <si>
    <t>cAmerOn MilLER</t>
  </si>
  <si>
    <t>Raymond Bell</t>
  </si>
  <si>
    <t>Sims-Jimenez</t>
  </si>
  <si>
    <t>wilLIAM wiLliams dDS</t>
  </si>
  <si>
    <t>Autumn Fitzgerald</t>
  </si>
  <si>
    <t>Holloway PLC</t>
  </si>
  <si>
    <t>tRACIe WrigHt</t>
  </si>
  <si>
    <t>James Armstrong</t>
  </si>
  <si>
    <t>Cain-Stone</t>
  </si>
  <si>
    <t>DaVid reyEs</t>
  </si>
  <si>
    <t>Darius Schaefer</t>
  </si>
  <si>
    <t>Garner Group</t>
  </si>
  <si>
    <t>pAiGE KIng</t>
  </si>
  <si>
    <t>Katherine Dunn</t>
  </si>
  <si>
    <t>Ltd Logan</t>
  </si>
  <si>
    <t>James gArCIA</t>
  </si>
  <si>
    <t>Katherine Flynn</t>
  </si>
  <si>
    <t>Bishop PLC</t>
  </si>
  <si>
    <t>lOri hArvEY</t>
  </si>
  <si>
    <t>Julian Perkins</t>
  </si>
  <si>
    <t>Lewis-Mitchell</t>
  </si>
  <si>
    <t>amy wANG</t>
  </si>
  <si>
    <t>Holly Taylor</t>
  </si>
  <si>
    <t>and Campbell Sons</t>
  </si>
  <si>
    <t>joRDAn vARgaS</t>
  </si>
  <si>
    <t>Mark King</t>
  </si>
  <si>
    <t>James PLC</t>
  </si>
  <si>
    <t>GORDON kELLY</t>
  </si>
  <si>
    <t>Shelby Johnson</t>
  </si>
  <si>
    <t>Colon-Meyer</t>
  </si>
  <si>
    <t>nathaN Scott</t>
  </si>
  <si>
    <t>Angela Logan MD</t>
  </si>
  <si>
    <t>and Woods Liu, Berry</t>
  </si>
  <si>
    <t>LiSA grEEn</t>
  </si>
  <si>
    <t>Gloria Schultz</t>
  </si>
  <si>
    <t>LLC Clayton</t>
  </si>
  <si>
    <t>amY CoMbS</t>
  </si>
  <si>
    <t>Victor Morales</t>
  </si>
  <si>
    <t>Le-Hawkins</t>
  </si>
  <si>
    <t>KelLY sANfoRD</t>
  </si>
  <si>
    <t>Nancy Vaughn</t>
  </si>
  <si>
    <t>Martinez Taylor Lopez, and</t>
  </si>
  <si>
    <t>mrs. jEssIcA BlAck md</t>
  </si>
  <si>
    <t>Christopher Rivera</t>
  </si>
  <si>
    <t>Williams Group</t>
  </si>
  <si>
    <t>rObERT GoulD</t>
  </si>
  <si>
    <t>Brittany Rocha</t>
  </si>
  <si>
    <t>Schmidt-Douglas</t>
  </si>
  <si>
    <t>cHRISTiNe VArgaS</t>
  </si>
  <si>
    <t>Patricia Hall</t>
  </si>
  <si>
    <t>Ltd Fleming</t>
  </si>
  <si>
    <t>BARbara dIaZ</t>
  </si>
  <si>
    <t>Christopher Hudson</t>
  </si>
  <si>
    <t>Smith Brown Wallace, and</t>
  </si>
  <si>
    <t>jOHn washIngtON</t>
  </si>
  <si>
    <t>Walter Perez</t>
  </si>
  <si>
    <t>Boyer Inc</t>
  </si>
  <si>
    <t>DEVIn stEWaRt</t>
  </si>
  <si>
    <t>Jonathan Chang</t>
  </si>
  <si>
    <t>Miranda-Collins</t>
  </si>
  <si>
    <t>JAMeS ROBeRTs</t>
  </si>
  <si>
    <t>Maria Ritter</t>
  </si>
  <si>
    <t>Hoffman and Sons</t>
  </si>
  <si>
    <t>JaMes YATEs</t>
  </si>
  <si>
    <t>Elizabeth Snyder</t>
  </si>
  <si>
    <t>Group Ortega</t>
  </si>
  <si>
    <t>PeTEr nIcHOLs</t>
  </si>
  <si>
    <t>Dennis Harris</t>
  </si>
  <si>
    <t>Mitchell, Vasquez and Chaney</t>
  </si>
  <si>
    <t>karen pRice</t>
  </si>
  <si>
    <t>Caroline Fields</t>
  </si>
  <si>
    <t>Villa-Simpson</t>
  </si>
  <si>
    <t>chRisTOPHEr jONes</t>
  </si>
  <si>
    <t>Joseph Rivera</t>
  </si>
  <si>
    <t>LLC Haynes</t>
  </si>
  <si>
    <t>LaRRY LeoNarD</t>
  </si>
  <si>
    <t>Charles Reynolds</t>
  </si>
  <si>
    <t>Inc Cummings</t>
  </si>
  <si>
    <t>MiChELle zHaNg</t>
  </si>
  <si>
    <t>Patricia Valentine</t>
  </si>
  <si>
    <t>Downs-Stephens</t>
  </si>
  <si>
    <t>kriSTEn FlOrES</t>
  </si>
  <si>
    <t>Angela Reed</t>
  </si>
  <si>
    <t>Carson and Nielsen, Buchanan</t>
  </si>
  <si>
    <t>MaTThEW bELl</t>
  </si>
  <si>
    <t>Doris Johnson</t>
  </si>
  <si>
    <t>Hicks-Perez</t>
  </si>
  <si>
    <t>brADLeY MIraNdA</t>
  </si>
  <si>
    <t>Devin Pratt</t>
  </si>
  <si>
    <t>Wilson and Brown, Ortiz</t>
  </si>
  <si>
    <t>cHRIsToPheR mOORE</t>
  </si>
  <si>
    <t>Angela Allison</t>
  </si>
  <si>
    <t>Berg-Mcconnell</t>
  </si>
  <si>
    <t>dan PINEDA</t>
  </si>
  <si>
    <t>Phyllis Nguyen</t>
  </si>
  <si>
    <t>Gilbert Ltd</t>
  </si>
  <si>
    <t>maRIaH SmiTH</t>
  </si>
  <si>
    <t>Melissa Mendoza</t>
  </si>
  <si>
    <t>Gutierrez-Webster</t>
  </si>
  <si>
    <t>saBRINa cOoK</t>
  </si>
  <si>
    <t>Christopher Bates</t>
  </si>
  <si>
    <t>MelIssA hOFfMAN</t>
  </si>
  <si>
    <t>April Cummings</t>
  </si>
  <si>
    <t>Cooley-Reid</t>
  </si>
  <si>
    <t>Joseph MARtiN</t>
  </si>
  <si>
    <t>Andrew Hill</t>
  </si>
  <si>
    <t>and Davenport Davis Hobbs,</t>
  </si>
  <si>
    <t>meLissA SIms</t>
  </si>
  <si>
    <t>Susan Sampson</t>
  </si>
  <si>
    <t>Thompson-Becker</t>
  </si>
  <si>
    <t>SaraH evans</t>
  </si>
  <si>
    <t>Darren Becker</t>
  </si>
  <si>
    <t>Mitchell Inc</t>
  </si>
  <si>
    <t>mARIA ANDeRsON</t>
  </si>
  <si>
    <t>Lee Santiago</t>
  </si>
  <si>
    <t>Mack, Wilson and Fowler</t>
  </si>
  <si>
    <t>MariA JOHnStON</t>
  </si>
  <si>
    <t>Holly Walton</t>
  </si>
  <si>
    <t>Johnson Garcia, and Anthony</t>
  </si>
  <si>
    <t>JaMES COle</t>
  </si>
  <si>
    <t>Craig Howard</t>
  </si>
  <si>
    <t>and Young Powell Mitchell,</t>
  </si>
  <si>
    <t>iSaiaH hOlT</t>
  </si>
  <si>
    <t>Diane Riley</t>
  </si>
  <si>
    <t>Bishop Inc</t>
  </si>
  <si>
    <t>joSEPH gonzaLeS</t>
  </si>
  <si>
    <t>John Schroeder</t>
  </si>
  <si>
    <t>Coleman-Dawson</t>
  </si>
  <si>
    <t>JenNiFEr CAMaCho</t>
  </si>
  <si>
    <t>Mark Watson</t>
  </si>
  <si>
    <t>Cunningham-King</t>
  </si>
  <si>
    <t>HecTOR jonES</t>
  </si>
  <si>
    <t>Diane Griffin</t>
  </si>
  <si>
    <t>Anderson PLC</t>
  </si>
  <si>
    <t>jEsSIcA jOnes Dds</t>
  </si>
  <si>
    <t>Kenneth Mcintosh</t>
  </si>
  <si>
    <t>Freeman King Hodges, and</t>
  </si>
  <si>
    <t>IsaBeLlA martIn</t>
  </si>
  <si>
    <t>Victoria Hernandez</t>
  </si>
  <si>
    <t>Sons Wilson and</t>
  </si>
  <si>
    <t>daNiEL pALMeR</t>
  </si>
  <si>
    <t>David Zavala</t>
  </si>
  <si>
    <t>Woodward Ltd</t>
  </si>
  <si>
    <t>sTEPhanIe BeNsoN</t>
  </si>
  <si>
    <t>Frederick Fields</t>
  </si>
  <si>
    <t>Powell Branch Osborn, and</t>
  </si>
  <si>
    <t>AshleY WiLliamS</t>
  </si>
  <si>
    <t>Michael Nguyen</t>
  </si>
  <si>
    <t>Brown Brown, and Sanders</t>
  </si>
  <si>
    <t>GReGOrY NguYEn</t>
  </si>
  <si>
    <t>Casey Fowler</t>
  </si>
  <si>
    <t>Harris-Oconnor</t>
  </si>
  <si>
    <t>joE SmItH</t>
  </si>
  <si>
    <t>Michael Miller</t>
  </si>
  <si>
    <t>Paul Richardson Haynes, and</t>
  </si>
  <si>
    <t>LIsa wATTS</t>
  </si>
  <si>
    <t>Kaylee Hampton</t>
  </si>
  <si>
    <t>Patterson-Lee</t>
  </si>
  <si>
    <t>alexAnDER GArcia</t>
  </si>
  <si>
    <t>Amber Gordon</t>
  </si>
  <si>
    <t>and Yang Fox Scott,</t>
  </si>
  <si>
    <t>ElIzabETh PErKINs</t>
  </si>
  <si>
    <t>Colleen Meyers</t>
  </si>
  <si>
    <t>Burch, and Sexton Sandoval</t>
  </si>
  <si>
    <t>LAuRA WELLS</t>
  </si>
  <si>
    <t>Eileen Hernandez</t>
  </si>
  <si>
    <t>Johnson and Delgado, Bennett</t>
  </si>
  <si>
    <t>robErT mCcORmICk</t>
  </si>
  <si>
    <t>Carrie Wright</t>
  </si>
  <si>
    <t>Garza Group</t>
  </si>
  <si>
    <t>MICHAEL yu</t>
  </si>
  <si>
    <t>Jeffrey Schmidt</t>
  </si>
  <si>
    <t>Olson, Andrade and Dixon</t>
  </si>
  <si>
    <t>jacOB GRaHam</t>
  </si>
  <si>
    <t>Jaime Bell</t>
  </si>
  <si>
    <t>Fisher Inc</t>
  </si>
  <si>
    <t>aNdrea kenNedy</t>
  </si>
  <si>
    <t>Brian Cooper</t>
  </si>
  <si>
    <t>Farrell-Lyons</t>
  </si>
  <si>
    <t>StacEY aNderson</t>
  </si>
  <si>
    <t>Anthony Graves</t>
  </si>
  <si>
    <t>Greer Cain and Taylor,</t>
  </si>
  <si>
    <t>jasOn mArsh</t>
  </si>
  <si>
    <t>Traci White MD</t>
  </si>
  <si>
    <t>Turner Ltd</t>
  </si>
  <si>
    <t>tiFfAnY FErguSON</t>
  </si>
  <si>
    <t>Eric Lutz</t>
  </si>
  <si>
    <t>mark hErnaNdEZ</t>
  </si>
  <si>
    <t>Brenda Hill</t>
  </si>
  <si>
    <t>Sherman Inc</t>
  </si>
  <si>
    <t>KEITH HenRy</t>
  </si>
  <si>
    <t>Peter Brown</t>
  </si>
  <si>
    <t>and Garcia Wade Richardson,</t>
  </si>
  <si>
    <t>mIChelLE WRIghT</t>
  </si>
  <si>
    <t>Benjamin Banks</t>
  </si>
  <si>
    <t>White-Graham</t>
  </si>
  <si>
    <t>TRoY DaVIS</t>
  </si>
  <si>
    <t>Natalie Perez</t>
  </si>
  <si>
    <t>and Miller Sons</t>
  </si>
  <si>
    <t>MiSty burton</t>
  </si>
  <si>
    <t>Erica Williams</t>
  </si>
  <si>
    <t>Taylor, and Mullins Lara</t>
  </si>
  <si>
    <t>RObERt rObINsOn</t>
  </si>
  <si>
    <t>Jasmine Webb</t>
  </si>
  <si>
    <t>and King, Vega Jones</t>
  </si>
  <si>
    <t>CHrISTiNA caldeROn</t>
  </si>
  <si>
    <t>David Cabrera</t>
  </si>
  <si>
    <t>Alvarez-Cruz</t>
  </si>
  <si>
    <t>JOhN GRahAm</t>
  </si>
  <si>
    <t>Julie Gonzales</t>
  </si>
  <si>
    <t>Walker Cisneros and Adams,</t>
  </si>
  <si>
    <t>mICHAEl PARkER</t>
  </si>
  <si>
    <t>Julia Campbell</t>
  </si>
  <si>
    <t>Ltd Lewis</t>
  </si>
  <si>
    <t>WIlliAm EVANs</t>
  </si>
  <si>
    <t>Zachary Robinson</t>
  </si>
  <si>
    <t>Esparza-Martinez</t>
  </si>
  <si>
    <t>vAlEriE hodgES</t>
  </si>
  <si>
    <t>Christine Smith</t>
  </si>
  <si>
    <t>Baker Hernandez and Scott,</t>
  </si>
  <si>
    <t>brENda BecK</t>
  </si>
  <si>
    <t>Barbara Burgess</t>
  </si>
  <si>
    <t>Group Lopez</t>
  </si>
  <si>
    <t>CHrISTIne DAvIs</t>
  </si>
  <si>
    <t>Malik Goodwin</t>
  </si>
  <si>
    <t>and Le Martin Young,</t>
  </si>
  <si>
    <t>keVIN dANiEl</t>
  </si>
  <si>
    <t>Diana Shaw</t>
  </si>
  <si>
    <t>PLC Cook</t>
  </si>
  <si>
    <t>BRIttney WagNER</t>
  </si>
  <si>
    <t>Michael Mason</t>
  </si>
  <si>
    <t>Baker, Davis Hill and</t>
  </si>
  <si>
    <t>criStIaN bUChANAn</t>
  </si>
  <si>
    <t>Alexis Bradford</t>
  </si>
  <si>
    <t>Johnson-Gray</t>
  </si>
  <si>
    <t>MiCHAEl bRady</t>
  </si>
  <si>
    <t>Jasmine Parker</t>
  </si>
  <si>
    <t>Mitchell, and Garcia Saunders</t>
  </si>
  <si>
    <t>jOrdan LEON</t>
  </si>
  <si>
    <t>Christina Lopez</t>
  </si>
  <si>
    <t>Dennis-Roth</t>
  </si>
  <si>
    <t>kAteLyn cunNINGHam</t>
  </si>
  <si>
    <t>Richard Franco</t>
  </si>
  <si>
    <t>Mcgee Patton Aguirre, and</t>
  </si>
  <si>
    <t>KRyStal mENDoZA</t>
  </si>
  <si>
    <t>Marc Reid</t>
  </si>
  <si>
    <t>Foster-Thomas</t>
  </si>
  <si>
    <t>aLEx RodriGUEz</t>
  </si>
  <si>
    <t>Ryan Simmons</t>
  </si>
  <si>
    <t>Group Mann</t>
  </si>
  <si>
    <t>GeoFfrEy barkER</t>
  </si>
  <si>
    <t>Clinton Sanchez</t>
  </si>
  <si>
    <t>Martinez-Strickland</t>
  </si>
  <si>
    <t>ALEc miTCheLl</t>
  </si>
  <si>
    <t>Cindy Gonzalez</t>
  </si>
  <si>
    <t>Shaw Tapia and Barnes,</t>
  </si>
  <si>
    <t>JasOn joRDaN</t>
  </si>
  <si>
    <t>Christy Ochoa</t>
  </si>
  <si>
    <t>Morris-Campbell</t>
  </si>
  <si>
    <t>philiP ReYES</t>
  </si>
  <si>
    <t>Gabriel Livingston</t>
  </si>
  <si>
    <t>Anderson Morton and Vang,</t>
  </si>
  <si>
    <t>AarOn BradsHaw</t>
  </si>
  <si>
    <t>Mackenzie Phillips</t>
  </si>
  <si>
    <t>Olson LLC</t>
  </si>
  <si>
    <t>ERicA fOrd</t>
  </si>
  <si>
    <t>Gabriel Lane</t>
  </si>
  <si>
    <t>Juarez and Sons</t>
  </si>
  <si>
    <t>dr. KAtIe baRReTt DVM</t>
  </si>
  <si>
    <t>Whitney Chavez</t>
  </si>
  <si>
    <t>Ramos Hansen Clark, and</t>
  </si>
  <si>
    <t>Jacob youNG</t>
  </si>
  <si>
    <t>Tara Tucker</t>
  </si>
  <si>
    <t>PLC Aguirre</t>
  </si>
  <si>
    <t>amY RAMos</t>
  </si>
  <si>
    <t>Dustin Alvarez</t>
  </si>
  <si>
    <t>Nelson Baldwin, Boyd and</t>
  </si>
  <si>
    <t>PaTricK moRAlES</t>
  </si>
  <si>
    <t>Jessica Conway</t>
  </si>
  <si>
    <t>Martinez, and Moore White</t>
  </si>
  <si>
    <t>sOpHIA cONwAY</t>
  </si>
  <si>
    <t>Heidi Wood</t>
  </si>
  <si>
    <t>Barker, Costa Hahn and</t>
  </si>
  <si>
    <t>jamES mOORE</t>
  </si>
  <si>
    <t>David Gordon</t>
  </si>
  <si>
    <t>Anderson and Higgins Galvan,</t>
  </si>
  <si>
    <t>ChRisTOPHeR cOChRan</t>
  </si>
  <si>
    <t>Jonathan Thomas</t>
  </si>
  <si>
    <t>Flores-Roman</t>
  </si>
  <si>
    <t>RObeRT Carter</t>
  </si>
  <si>
    <t>Lori Diaz</t>
  </si>
  <si>
    <t>Miller, Moon Boyd and</t>
  </si>
  <si>
    <t>moRgAn NGUYEn</t>
  </si>
  <si>
    <t>Martin Dominguez</t>
  </si>
  <si>
    <t>Inc Harmon</t>
  </si>
  <si>
    <t>natHAn MONToYA</t>
  </si>
  <si>
    <t>Adam Roberts</t>
  </si>
  <si>
    <t>Elliott Jones Hinton, and</t>
  </si>
  <si>
    <t>jOE Berry PhD</t>
  </si>
  <si>
    <t>Nancy Beck</t>
  </si>
  <si>
    <t>Sons Mckinney and</t>
  </si>
  <si>
    <t>daNIeL oRtiz</t>
  </si>
  <si>
    <t>Christy Hughes</t>
  </si>
  <si>
    <t>Carroll-Howard</t>
  </si>
  <si>
    <t>mATthEw cLaRk</t>
  </si>
  <si>
    <t>Charles Hernandez</t>
  </si>
  <si>
    <t>and Park, Garcia Lam</t>
  </si>
  <si>
    <t>JAcQuELINE hArDY</t>
  </si>
  <si>
    <t>Hannah Clay</t>
  </si>
  <si>
    <t>Chavez Valenzuela, and Gutierrez</t>
  </si>
  <si>
    <t>eMiLY JoSEPh</t>
  </si>
  <si>
    <t>Steven Dixon</t>
  </si>
  <si>
    <t>Hill-Hernandez</t>
  </si>
  <si>
    <t>sarAH HiCKs</t>
  </si>
  <si>
    <t>Monica Thomas</t>
  </si>
  <si>
    <t>Skinner LLC</t>
  </si>
  <si>
    <t>bRiANa rOsS</t>
  </si>
  <si>
    <t>Alexander Moore</t>
  </si>
  <si>
    <t>Inc Cox</t>
  </si>
  <si>
    <t>maRY mcculLOUgH</t>
  </si>
  <si>
    <t>Curtis Mckinney</t>
  </si>
  <si>
    <t>Perez Sons and</t>
  </si>
  <si>
    <t>bRIAn OSborNe</t>
  </si>
  <si>
    <t>Stephanie Shepard</t>
  </si>
  <si>
    <t>Parker Turner, Houston and</t>
  </si>
  <si>
    <t>suSAn WALTerS</t>
  </si>
  <si>
    <t>Russell Soto</t>
  </si>
  <si>
    <t>Wilson-Chen</t>
  </si>
  <si>
    <t>CATHerine HaRVEY</t>
  </si>
  <si>
    <t>Charles Cardenas</t>
  </si>
  <si>
    <t>Boone-Duffy</t>
  </si>
  <si>
    <t>cORY PIERCe</t>
  </si>
  <si>
    <t>Brandon Montoya</t>
  </si>
  <si>
    <t>Reid-Simmons</t>
  </si>
  <si>
    <t>jeSus jORdan</t>
  </si>
  <si>
    <t>Andrew Bishop</t>
  </si>
  <si>
    <t>Dunn-Bentley</t>
  </si>
  <si>
    <t>ANn dUNCAN</t>
  </si>
  <si>
    <t>Daniel Sanders</t>
  </si>
  <si>
    <t>Inc Cherry</t>
  </si>
  <si>
    <t>Sarah pOrTEr</t>
  </si>
  <si>
    <t>Jeremiah Nunez</t>
  </si>
  <si>
    <t>Zavala-Fernandez</t>
  </si>
  <si>
    <t>jACquEliNE DeAN</t>
  </si>
  <si>
    <t>Carolyn Peters</t>
  </si>
  <si>
    <t>Jones-Fleming</t>
  </si>
  <si>
    <t>AnNE lam</t>
  </si>
  <si>
    <t>Paul Ruiz</t>
  </si>
  <si>
    <t>Christian-Hall</t>
  </si>
  <si>
    <t>jEnnifeR GomEz</t>
  </si>
  <si>
    <t>Robert Palmer</t>
  </si>
  <si>
    <t>LLC Cabrera</t>
  </si>
  <si>
    <t>daVId CuRTIs</t>
  </si>
  <si>
    <t>Lisa Grimes</t>
  </si>
  <si>
    <t>Hernandez and Delacruz, Kramer</t>
  </si>
  <si>
    <t>joSHUa JOHnsON</t>
  </si>
  <si>
    <t>Ronald Russell</t>
  </si>
  <si>
    <t>Cervantes-Herrera</t>
  </si>
  <si>
    <t>jEReMy bOwen</t>
  </si>
  <si>
    <t>Tracey Smith</t>
  </si>
  <si>
    <t>Garrison-Mcfarland</t>
  </si>
  <si>
    <t>denNIs cLarkE</t>
  </si>
  <si>
    <t>Mark Baker</t>
  </si>
  <si>
    <t>Warren-Brown</t>
  </si>
  <si>
    <t>jeNNiFER spEnCe</t>
  </si>
  <si>
    <t>Austin Perry</t>
  </si>
  <si>
    <t>Ruiz Group</t>
  </si>
  <si>
    <t>biLlY fITZGERALd</t>
  </si>
  <si>
    <t>Dr. Mackenzie Bell</t>
  </si>
  <si>
    <t>Anderson-Brown</t>
  </si>
  <si>
    <t>krisTEN JamES</t>
  </si>
  <si>
    <t>Kimberly Calhoun</t>
  </si>
  <si>
    <t>Hull Sons and</t>
  </si>
  <si>
    <t>cAiTLIN bEndEr</t>
  </si>
  <si>
    <t>Timothy Aguilar</t>
  </si>
  <si>
    <t>Oliver Mcdonald, and Johnson</t>
  </si>
  <si>
    <t>bRENda fULleR</t>
  </si>
  <si>
    <t>Cynthia Stanton MD</t>
  </si>
  <si>
    <t>Lara-Allen</t>
  </si>
  <si>
    <t>CASSaNdrA rIcE</t>
  </si>
  <si>
    <t>Craig Delgado</t>
  </si>
  <si>
    <t>Group Summers</t>
  </si>
  <si>
    <t>SeRgIO saNcheZ</t>
  </si>
  <si>
    <t>Courtney Parsons</t>
  </si>
  <si>
    <t>Phillips Medina, Rivera and</t>
  </si>
  <si>
    <t>keviN stein</t>
  </si>
  <si>
    <t>Sandra Barker</t>
  </si>
  <si>
    <t>LLC Flores</t>
  </si>
  <si>
    <t>MAUrEEN grANT Md</t>
  </si>
  <si>
    <t>Michael Hogan</t>
  </si>
  <si>
    <t>Inc Pace</t>
  </si>
  <si>
    <t>SaMantHA gUtIErrez</t>
  </si>
  <si>
    <t>Toni Perry MD</t>
  </si>
  <si>
    <t>Garcia-Robinson</t>
  </si>
  <si>
    <t>GEORgE woodwARd</t>
  </si>
  <si>
    <t>William Bailey</t>
  </si>
  <si>
    <t>Snow-Day</t>
  </si>
  <si>
    <t>sHaNe TaTe</t>
  </si>
  <si>
    <t>Tiffany Ortega</t>
  </si>
  <si>
    <t>Inc Rangel</t>
  </si>
  <si>
    <t>KErRY HaWkiNs</t>
  </si>
  <si>
    <t>Willie Lowery</t>
  </si>
  <si>
    <t>Irwin-Kaufman</t>
  </si>
  <si>
    <t>mARissA mORa</t>
  </si>
  <si>
    <t>Jaime Allen</t>
  </si>
  <si>
    <t>Brown and Colon, Anderson</t>
  </si>
  <si>
    <t>rICKy mEYeR</t>
  </si>
  <si>
    <t>Becky Jones</t>
  </si>
  <si>
    <t>and Peterson, Rodriguez Murphy</t>
  </si>
  <si>
    <t>EDWArd JOneS jR.</t>
  </si>
  <si>
    <t>Tiffany Frank</t>
  </si>
  <si>
    <t>and Frederick, Jones Garcia</t>
  </si>
  <si>
    <t>HeatHER mELeNdez</t>
  </si>
  <si>
    <t>Joe Mora</t>
  </si>
  <si>
    <t>and Fuentes Rogers Gill,</t>
  </si>
  <si>
    <t>jesSIcA mAciaS</t>
  </si>
  <si>
    <t>Teresa Tucker</t>
  </si>
  <si>
    <t>Group Schneider</t>
  </si>
  <si>
    <t>JaMIe leACh</t>
  </si>
  <si>
    <t>Ruben Cross</t>
  </si>
  <si>
    <t>Sandoval-Bennett</t>
  </si>
  <si>
    <t>matThEW sImMoNs</t>
  </si>
  <si>
    <t>Timothy Choi</t>
  </si>
  <si>
    <t>Young Ltd</t>
  </si>
  <si>
    <t>SHeILA bAXtEr</t>
  </si>
  <si>
    <t>Robert Lester</t>
  </si>
  <si>
    <t>Lopez-Brooks</t>
  </si>
  <si>
    <t>DAVE PaRrISH</t>
  </si>
  <si>
    <t>Sandra Bender</t>
  </si>
  <si>
    <t>Leblanc Conway, Holt and</t>
  </si>
  <si>
    <t>brYaN SteWart</t>
  </si>
  <si>
    <t>Martin Smith</t>
  </si>
  <si>
    <t>Ltd Roberts</t>
  </si>
  <si>
    <t>JaMes beLL</t>
  </si>
  <si>
    <t>Martha Johnson</t>
  </si>
  <si>
    <t>and Carter Sons</t>
  </si>
  <si>
    <t>Joshua LOve</t>
  </si>
  <si>
    <t>Mercedes Harris</t>
  </si>
  <si>
    <t>Moore and Rhodes Lang,</t>
  </si>
  <si>
    <t>rObErT CLArk</t>
  </si>
  <si>
    <t>Gregory Chung</t>
  </si>
  <si>
    <t>Poole LLC</t>
  </si>
  <si>
    <t>marisa GOlDEN</t>
  </si>
  <si>
    <t>James Young</t>
  </si>
  <si>
    <t>Hansen-Torres</t>
  </si>
  <si>
    <t>NanCy HaMIltOn</t>
  </si>
  <si>
    <t>Carla Combs</t>
  </si>
  <si>
    <t>Park-Douglas</t>
  </si>
  <si>
    <t>BRyaN bOwERS</t>
  </si>
  <si>
    <t>Peter Martinez</t>
  </si>
  <si>
    <t>Ruiz, Scott Mitchell and</t>
  </si>
  <si>
    <t>NIColE mArTIN</t>
  </si>
  <si>
    <t>Christopher Spears</t>
  </si>
  <si>
    <t>and Rodriguez Gallegos Henry,</t>
  </si>
  <si>
    <t>WillIam HaRmON</t>
  </si>
  <si>
    <t>Carrie Howell</t>
  </si>
  <si>
    <t>Ltd Miller</t>
  </si>
  <si>
    <t>TOM BRoWN</t>
  </si>
  <si>
    <t>Tina Ray</t>
  </si>
  <si>
    <t>Turner Bradford and Allison,</t>
  </si>
  <si>
    <t>CynthIa NeLSoN</t>
  </si>
  <si>
    <t>Debbie Jones</t>
  </si>
  <si>
    <t>Goodwin Ltd</t>
  </si>
  <si>
    <t>TODD gROSS</t>
  </si>
  <si>
    <t>Anthony Ortiz</t>
  </si>
  <si>
    <t>Carrillo-Price</t>
  </si>
  <si>
    <t>sTEphAnie cHung</t>
  </si>
  <si>
    <t>Jason Stewart</t>
  </si>
  <si>
    <t>and Sons Lee</t>
  </si>
  <si>
    <t>KayLA PeREZ</t>
  </si>
  <si>
    <t>Derek Dorsey</t>
  </si>
  <si>
    <t>Rogers-Robles</t>
  </si>
  <si>
    <t>paul marTInez</t>
  </si>
  <si>
    <t>William Carter</t>
  </si>
  <si>
    <t>Massey Inc</t>
  </si>
  <si>
    <t>joshuA neLson</t>
  </si>
  <si>
    <t>Angel Jones</t>
  </si>
  <si>
    <t>Arias-Galvan</t>
  </si>
  <si>
    <t>JAkE COpeLand</t>
  </si>
  <si>
    <t>Christopher Fowler</t>
  </si>
  <si>
    <t>Scott-Moore</t>
  </si>
  <si>
    <t>mAria GArdNEr</t>
  </si>
  <si>
    <t>Stephanie Herrera</t>
  </si>
  <si>
    <t>Jarvis-Roberts</t>
  </si>
  <si>
    <t>jAnEt ROBERTs DDS</t>
  </si>
  <si>
    <t>Scott Herring</t>
  </si>
  <si>
    <t>Clay LLC</t>
  </si>
  <si>
    <t>pETeR ramSey</t>
  </si>
  <si>
    <t>Angela Cook</t>
  </si>
  <si>
    <t>Quinn, Bentley and Allen</t>
  </si>
  <si>
    <t>AsHley farmER</t>
  </si>
  <si>
    <t>Michael Davis</t>
  </si>
  <si>
    <t>Williams PLC</t>
  </si>
  <si>
    <t>kaTHerInE haLE</t>
  </si>
  <si>
    <t>Thomas Hunt</t>
  </si>
  <si>
    <t>Griffith Mccullough Mendoza, and</t>
  </si>
  <si>
    <t>GAry BOWEN</t>
  </si>
  <si>
    <t>Dylan Hale</t>
  </si>
  <si>
    <t>Meyers-Moore</t>
  </si>
  <si>
    <t>LaURA rYan</t>
  </si>
  <si>
    <t>Bradley Holt</t>
  </si>
  <si>
    <t>Blair-Bell</t>
  </si>
  <si>
    <t>TiMoThY lOpeZ</t>
  </si>
  <si>
    <t>Sandra Powers</t>
  </si>
  <si>
    <t>Lester-Fletcher</t>
  </si>
  <si>
    <t>ANThoNy gUZmAn</t>
  </si>
  <si>
    <t>Evan Campbell</t>
  </si>
  <si>
    <t>Rodriguez LLC</t>
  </si>
  <si>
    <t>MIChael ShaRP</t>
  </si>
  <si>
    <t>Sylvia Villarreal</t>
  </si>
  <si>
    <t>LLC Baldwin</t>
  </si>
  <si>
    <t>daVId CarrOlL</t>
  </si>
  <si>
    <t>Matthew Hopkins</t>
  </si>
  <si>
    <t>Riley PLC</t>
  </si>
  <si>
    <t>Connor BARTOn</t>
  </si>
  <si>
    <t>Joseph Miller</t>
  </si>
  <si>
    <t>Snyder-Perry</t>
  </si>
  <si>
    <t>AnGElA SCOtT</t>
  </si>
  <si>
    <t>Charles Palmer</t>
  </si>
  <si>
    <t>Perez-Carlson</t>
  </si>
  <si>
    <t>DAvID ORTiz</t>
  </si>
  <si>
    <t>Michael Walters</t>
  </si>
  <si>
    <t>Richardson Mccormick, Cruz and</t>
  </si>
  <si>
    <t>paTRicK pierce</t>
  </si>
  <si>
    <t>Scott Smith</t>
  </si>
  <si>
    <t>Underwood-Mcguire</t>
  </si>
  <si>
    <t>KeiTH JohnSoN</t>
  </si>
  <si>
    <t>Nicole Jensen</t>
  </si>
  <si>
    <t>Galvan, Lopez Salazar and</t>
  </si>
  <si>
    <t>antonio smITh</t>
  </si>
  <si>
    <t>Brent Dickerson</t>
  </si>
  <si>
    <t>Fisher-Perez</t>
  </si>
  <si>
    <t>jOHN TaYlOR</t>
  </si>
  <si>
    <t>Nicole Young</t>
  </si>
  <si>
    <t>Maldonado Anderson and Adkins,</t>
  </si>
  <si>
    <t>barbAra stEwarT</t>
  </si>
  <si>
    <t>Jared Kemp</t>
  </si>
  <si>
    <t>Ruiz PLC</t>
  </si>
  <si>
    <t>lArRy TaNnEr</t>
  </si>
  <si>
    <t>Dennis Gilbert</t>
  </si>
  <si>
    <t>Ltd Watts</t>
  </si>
  <si>
    <t>MAllORy diAz</t>
  </si>
  <si>
    <t>William Mcguire</t>
  </si>
  <si>
    <t>and Martinez Sons</t>
  </si>
  <si>
    <t>jOhN WILLiams</t>
  </si>
  <si>
    <t>Jesus Wagner</t>
  </si>
  <si>
    <t>Harrington-Marshall</t>
  </si>
  <si>
    <t>peter miller</t>
  </si>
  <si>
    <t>Jose Cooley</t>
  </si>
  <si>
    <t>Robbins Inc</t>
  </si>
  <si>
    <t>rYaN bUtLeR</t>
  </si>
  <si>
    <t>Andrew Clark</t>
  </si>
  <si>
    <t>and Conway George, Huff</t>
  </si>
  <si>
    <t>SaMANTHa lOwERY</t>
  </si>
  <si>
    <t>Evelyn Patterson</t>
  </si>
  <si>
    <t>TiFFAny LEe</t>
  </si>
  <si>
    <t>Maria Estes</t>
  </si>
  <si>
    <t>Rodriguez-Arnold</t>
  </si>
  <si>
    <t>SamaNthA WiLlIs</t>
  </si>
  <si>
    <t>Mrs. Linda Miles</t>
  </si>
  <si>
    <t>and Sullivan, Mcclure Shields</t>
  </si>
  <si>
    <t>pAmela BroWn</t>
  </si>
  <si>
    <t>Catherine Wiley</t>
  </si>
  <si>
    <t>Charles LLC</t>
  </si>
  <si>
    <t>cARLA walkER</t>
  </si>
  <si>
    <t>Olivia Nichols</t>
  </si>
  <si>
    <t>Morgan-Young</t>
  </si>
  <si>
    <t>MaRy GOnzaLeS</t>
  </si>
  <si>
    <t>Christie Vargas</t>
  </si>
  <si>
    <t>Garcia and Nguyen, Leonard</t>
  </si>
  <si>
    <t>SHEllEY FlEmInG</t>
  </si>
  <si>
    <t>Nathaniel Jacobson</t>
  </si>
  <si>
    <t>PLC Fox</t>
  </si>
  <si>
    <t>MARK bLakE</t>
  </si>
  <si>
    <t>Kayla Clark</t>
  </si>
  <si>
    <t>Bell Preston Washington, and</t>
  </si>
  <si>
    <t>SCoTT KIng</t>
  </si>
  <si>
    <t>Jessica Jackson</t>
  </si>
  <si>
    <t>LLC Hernandez</t>
  </si>
  <si>
    <t>JesSicA dAvis</t>
  </si>
  <si>
    <t>Lynn Benson</t>
  </si>
  <si>
    <t>Steele PLC</t>
  </si>
  <si>
    <t>anthOnY odom</t>
  </si>
  <si>
    <t>Michael Dodson MD</t>
  </si>
  <si>
    <t>and Sims, Gonzalez Huff</t>
  </si>
  <si>
    <t>charleS bRoWN</t>
  </si>
  <si>
    <t>David Nunez</t>
  </si>
  <si>
    <t>Allen-Perez</t>
  </si>
  <si>
    <t>raChel DaVIS</t>
  </si>
  <si>
    <t>Lindsay Pierce</t>
  </si>
  <si>
    <t>and Alexander Crawford Graham,</t>
  </si>
  <si>
    <t>SAndRa mccALl</t>
  </si>
  <si>
    <t>Dr. Jeffrey Barnes Jr.</t>
  </si>
  <si>
    <t>Moyer-Lamb</t>
  </si>
  <si>
    <t>NiCole FraNCIS</t>
  </si>
  <si>
    <t>Kristie Roberts</t>
  </si>
  <si>
    <t>Taylor-Wilson</t>
  </si>
  <si>
    <t>STEVEN SmitH</t>
  </si>
  <si>
    <t>Allison Harper</t>
  </si>
  <si>
    <t>PLC Sutton</t>
  </si>
  <si>
    <t>KAREn johnsoN</t>
  </si>
  <si>
    <t>Heather Howard</t>
  </si>
  <si>
    <t>and Sons Sanders</t>
  </si>
  <si>
    <t>anna ROgERs</t>
  </si>
  <si>
    <t>Vickie King</t>
  </si>
  <si>
    <t>Gentry and Sons</t>
  </si>
  <si>
    <t>pRiSCiLlA dEckEr</t>
  </si>
  <si>
    <t>Christopher Yoder</t>
  </si>
  <si>
    <t>Haynes-Silva</t>
  </si>
  <si>
    <t>tREVor WRiGHt</t>
  </si>
  <si>
    <t>Matthew Nelson</t>
  </si>
  <si>
    <t>Marshall, and Koch Harper</t>
  </si>
  <si>
    <t>WiLlIAm tuCKEr</t>
  </si>
  <si>
    <t>Martin Lynch</t>
  </si>
  <si>
    <t>Duffy-Jackson</t>
  </si>
  <si>
    <t>JEsSIca KElLer</t>
  </si>
  <si>
    <t>David Hall</t>
  </si>
  <si>
    <t>Brown-Diaz</t>
  </si>
  <si>
    <t>WILliAM hEnRY</t>
  </si>
  <si>
    <t>Benjamin Tyler</t>
  </si>
  <si>
    <t>Mcdaniel-Castaneda</t>
  </si>
  <si>
    <t>RobiN Clarke</t>
  </si>
  <si>
    <t>Tyler Adams DDS</t>
  </si>
  <si>
    <t>Lyons LLC</t>
  </si>
  <si>
    <t>jessIca gARZa</t>
  </si>
  <si>
    <t>William White</t>
  </si>
  <si>
    <t>PLC French</t>
  </si>
  <si>
    <t>JAmIe salaZAR</t>
  </si>
  <si>
    <t>Amanda Webb</t>
  </si>
  <si>
    <t>LLC Coleman</t>
  </si>
  <si>
    <t>stevEN VAugHaN</t>
  </si>
  <si>
    <t>Travis Holmes</t>
  </si>
  <si>
    <t>Tucker-Warren</t>
  </si>
  <si>
    <t>MIChAeL contreraS</t>
  </si>
  <si>
    <t>Amy Small</t>
  </si>
  <si>
    <t>Wang-Hill</t>
  </si>
  <si>
    <t>AllEn roBeRTs</t>
  </si>
  <si>
    <t>Katherine Gutierrez</t>
  </si>
  <si>
    <t>aMy POwEll</t>
  </si>
  <si>
    <t>Susan Hess</t>
  </si>
  <si>
    <t>White West Herman, and</t>
  </si>
  <si>
    <t>KeNNeth sMitH</t>
  </si>
  <si>
    <t>Kristen Thornton</t>
  </si>
  <si>
    <t>Inc Newton</t>
  </si>
  <si>
    <t>maTThEW WEsT</t>
  </si>
  <si>
    <t>Jerry Fisher</t>
  </si>
  <si>
    <t>Huerta-Sanchez</t>
  </si>
  <si>
    <t>ERIK MOntoyA</t>
  </si>
  <si>
    <t>Elizabeth Miller</t>
  </si>
  <si>
    <t>Snyder-Parrish</t>
  </si>
  <si>
    <t>aUSTin lEwis</t>
  </si>
  <si>
    <t>Reginald Grimes</t>
  </si>
  <si>
    <t>Inc Bryant</t>
  </si>
  <si>
    <t>KennEtH ThOmPSon</t>
  </si>
  <si>
    <t>Steven Smith</t>
  </si>
  <si>
    <t>Williams Inc</t>
  </si>
  <si>
    <t>AMANDa DURhAm</t>
  </si>
  <si>
    <t>Katelyn Davis</t>
  </si>
  <si>
    <t>Smith White, and Ryan</t>
  </si>
  <si>
    <t>stEphen HUdSON</t>
  </si>
  <si>
    <t>Matthew Jones</t>
  </si>
  <si>
    <t>Williams Dillon White, and</t>
  </si>
  <si>
    <t>CASsanDRA VeLaZquEZ</t>
  </si>
  <si>
    <t>Diana Tran</t>
  </si>
  <si>
    <t>Vargas-Cohen</t>
  </si>
  <si>
    <t>suSAN peNA</t>
  </si>
  <si>
    <t>Kevin Kelley</t>
  </si>
  <si>
    <t>Gardner Group</t>
  </si>
  <si>
    <t>anTHoNY PerKinS</t>
  </si>
  <si>
    <t>Anthony Green</t>
  </si>
  <si>
    <t>Garcia-Blake</t>
  </si>
  <si>
    <t>KATRIna LOPEz</t>
  </si>
  <si>
    <t>Jordan Porter</t>
  </si>
  <si>
    <t>Castaneda-Tran</t>
  </si>
  <si>
    <t>bRiAn FoSTER</t>
  </si>
  <si>
    <t>James Thompson</t>
  </si>
  <si>
    <t>Kim-Ibarra</t>
  </si>
  <si>
    <t>JaSon ThOMPson</t>
  </si>
  <si>
    <t>Andrea King</t>
  </si>
  <si>
    <t>Boyer-Burgess</t>
  </si>
  <si>
    <t>david AYaLa</t>
  </si>
  <si>
    <t>Lucas Torres</t>
  </si>
  <si>
    <t>Cross Ltd</t>
  </si>
  <si>
    <t>jaReD YoDER</t>
  </si>
  <si>
    <t>Sarah Garcia</t>
  </si>
  <si>
    <t>Patel Payne, and Young</t>
  </si>
  <si>
    <t>gRegoRY cANnON</t>
  </si>
  <si>
    <t>Amanda Alvarado</t>
  </si>
  <si>
    <t>Group Santana</t>
  </si>
  <si>
    <t>LISa aNdERSON</t>
  </si>
  <si>
    <t>Samantha Preston</t>
  </si>
  <si>
    <t>Sons and Cook</t>
  </si>
  <si>
    <t>ELIzabEtH ShIelDs</t>
  </si>
  <si>
    <t>David Maxwell</t>
  </si>
  <si>
    <t>Martin-Rice</t>
  </si>
  <si>
    <t>PatriCiA kIM</t>
  </si>
  <si>
    <t>Kevin Butler</t>
  </si>
  <si>
    <t>Ortiz, and Rios Price</t>
  </si>
  <si>
    <t>JessiCA sOto</t>
  </si>
  <si>
    <t>Shannon Sanchez</t>
  </si>
  <si>
    <t>Barnes-Williams</t>
  </si>
  <si>
    <t>JEnNY ReYnOLDS</t>
  </si>
  <si>
    <t>Shelly Bright</t>
  </si>
  <si>
    <t>Hardy-Gutierrez</t>
  </si>
  <si>
    <t>SHANnon baRRett</t>
  </si>
  <si>
    <t>Stephanie Wilcox</t>
  </si>
  <si>
    <t>Cole LLC</t>
  </si>
  <si>
    <t>tERrI PERry</t>
  </si>
  <si>
    <t>Amy Diaz</t>
  </si>
  <si>
    <t>White-Rowe</t>
  </si>
  <si>
    <t>Joseph MaddEN</t>
  </si>
  <si>
    <t>Stacey Nguyen</t>
  </si>
  <si>
    <t>Rodriguez Harris, Willis and</t>
  </si>
  <si>
    <t>RebECCa hOGAN</t>
  </si>
  <si>
    <t>Peter Wright</t>
  </si>
  <si>
    <t>Santana Garcia, Alexander and</t>
  </si>
  <si>
    <t>kELly WAlKER</t>
  </si>
  <si>
    <t>Eric Shaw</t>
  </si>
  <si>
    <t>Collins-Lozano</t>
  </si>
  <si>
    <t>jUlIa muEllER</t>
  </si>
  <si>
    <t>Susan Gaines</t>
  </si>
  <si>
    <t>Brown-Clark</t>
  </si>
  <si>
    <t>KAyLa mOORe</t>
  </si>
  <si>
    <t>Collin Green</t>
  </si>
  <si>
    <t>Mcmahon and Kim, Holmes</t>
  </si>
  <si>
    <t>KAITLyn SmItH</t>
  </si>
  <si>
    <t>Richard Harris</t>
  </si>
  <si>
    <t>Gomez-Smith</t>
  </si>
  <si>
    <t>DAnIEL KemP</t>
  </si>
  <si>
    <t>Charles Fernandez</t>
  </si>
  <si>
    <t>Hall Lee Bailey, and</t>
  </si>
  <si>
    <t>laurA mYeRs</t>
  </si>
  <si>
    <t>Kyle Williams MD</t>
  </si>
  <si>
    <t>Brennan Bentley, and Hunter</t>
  </si>
  <si>
    <t>Carol ReEd</t>
  </si>
  <si>
    <t>Susan Rios DDS</t>
  </si>
  <si>
    <t>Mullins, Gray and Reed</t>
  </si>
  <si>
    <t>JesSIcA caRtER</t>
  </si>
  <si>
    <t>Sarah Ibarra</t>
  </si>
  <si>
    <t>vANeSsa ScHaEFeR</t>
  </si>
  <si>
    <t>Jonathan Burns MD</t>
  </si>
  <si>
    <t>Walsh, Howell and Jennings</t>
  </si>
  <si>
    <t>MIgUeL GOmeZ</t>
  </si>
  <si>
    <t>Jennifer Miller</t>
  </si>
  <si>
    <t>Haney-Marshall</t>
  </si>
  <si>
    <t>linDa cARdeNas</t>
  </si>
  <si>
    <t>Zachary Scott</t>
  </si>
  <si>
    <t>Rich and Roach, King</t>
  </si>
  <si>
    <t>annEtTE JAMES</t>
  </si>
  <si>
    <t>Dennis Robbins</t>
  </si>
  <si>
    <t>Johnson, and Petty Rubio</t>
  </si>
  <si>
    <t>sUSaN HuRLEY</t>
  </si>
  <si>
    <t>Sean Rodgers</t>
  </si>
  <si>
    <t>Morse, Hudson Williams and</t>
  </si>
  <si>
    <t>carOLyN Wade</t>
  </si>
  <si>
    <t>Nathan Payne</t>
  </si>
  <si>
    <t>Kane, and Dickson Schwartz</t>
  </si>
  <si>
    <t>aNgeLA DelEon</t>
  </si>
  <si>
    <t>Kristina Gray</t>
  </si>
  <si>
    <t>Inc Mccullough</t>
  </si>
  <si>
    <t>cAROLYN COoPer</t>
  </si>
  <si>
    <t>Regina Bryant</t>
  </si>
  <si>
    <t>Taylor-Wong</t>
  </si>
  <si>
    <t>reBEcca hARRIs</t>
  </si>
  <si>
    <t>Karen Donovan</t>
  </si>
  <si>
    <t>Avery-Roy</t>
  </si>
  <si>
    <t>garY cUrtIS</t>
  </si>
  <si>
    <t>Amber Lopez</t>
  </si>
  <si>
    <t>LLC Anderson</t>
  </si>
  <si>
    <t>ryaN LIU</t>
  </si>
  <si>
    <t>Vernon Diaz</t>
  </si>
  <si>
    <t>Castaneda-Young</t>
  </si>
  <si>
    <t>DenNiS MOrROw</t>
  </si>
  <si>
    <t>Luke Nunez</t>
  </si>
  <si>
    <t>and Thomas Strong, Cook</t>
  </si>
  <si>
    <t>JEnNiFEr COOpER</t>
  </si>
  <si>
    <t>Mary Williams</t>
  </si>
  <si>
    <t>Wells-Price</t>
  </si>
  <si>
    <t>JaCOB loPez</t>
  </si>
  <si>
    <t>Gina Richards</t>
  </si>
  <si>
    <t>Rios Ltd</t>
  </si>
  <si>
    <t>carOL McClain</t>
  </si>
  <si>
    <t>Julie West</t>
  </si>
  <si>
    <t>Vincent-Hill</t>
  </si>
  <si>
    <t>mIChaeL RiChArdsoN</t>
  </si>
  <si>
    <t>Greg Scott</t>
  </si>
  <si>
    <t>Brooks LLC</t>
  </si>
  <si>
    <t>MARK NGuYEn</t>
  </si>
  <si>
    <t>Tracy Serrano</t>
  </si>
  <si>
    <t>Group Carpenter</t>
  </si>
  <si>
    <t>EriC COOk</t>
  </si>
  <si>
    <t>Rhonda Gilbert</t>
  </si>
  <si>
    <t>Henderson Carpenter and Barrett,</t>
  </si>
  <si>
    <t>kRISTeN STEPheNS</t>
  </si>
  <si>
    <t>Penny Bryant</t>
  </si>
  <si>
    <t>Mcdaniel-Walsh</t>
  </si>
  <si>
    <t>DaNa WAltoN</t>
  </si>
  <si>
    <t>Edward Webster</t>
  </si>
  <si>
    <t>Ross-Jones</t>
  </si>
  <si>
    <t>Scott arNOLd</t>
  </si>
  <si>
    <t>Brandon Flores</t>
  </si>
  <si>
    <t>Mathews, Smith and Moss</t>
  </si>
  <si>
    <t>MEGan wHEEleR</t>
  </si>
  <si>
    <t>Courtney Crane</t>
  </si>
  <si>
    <t>and Lawrence, Williams Thomas</t>
  </si>
  <si>
    <t>AaRON coX</t>
  </si>
  <si>
    <t>Eric Wallace</t>
  </si>
  <si>
    <t>Wilkerson Group</t>
  </si>
  <si>
    <t>CassanDRA MArTineZ</t>
  </si>
  <si>
    <t>Nicole Norton</t>
  </si>
  <si>
    <t>Villanueva-Garcia</t>
  </si>
  <si>
    <t>SHawn bROwn</t>
  </si>
  <si>
    <t>Angela Cunningham</t>
  </si>
  <si>
    <t>Duffy-Bowman</t>
  </si>
  <si>
    <t>SAnDRa WillIamSon</t>
  </si>
  <si>
    <t>Jessica Morgan</t>
  </si>
  <si>
    <t>Tyler-Velasquez</t>
  </si>
  <si>
    <t>jenniFeR sTephEnS</t>
  </si>
  <si>
    <t>Shari Foster</t>
  </si>
  <si>
    <t>James Inc</t>
  </si>
  <si>
    <t>stePHANIe ROdRigueZ</t>
  </si>
  <si>
    <t>Danielle Collins</t>
  </si>
  <si>
    <t>Montgomery-Jones</t>
  </si>
  <si>
    <t>CaROlIne mCinTyRe</t>
  </si>
  <si>
    <t>Beth Mckenzie</t>
  </si>
  <si>
    <t>Montgomery-Anthony</t>
  </si>
  <si>
    <t>Mr. cAMeROn RoBINsoN</t>
  </si>
  <si>
    <t>Evan Johnson</t>
  </si>
  <si>
    <t>Davis-Padilla</t>
  </si>
  <si>
    <t>taMmY pINEdA</t>
  </si>
  <si>
    <t>Wendy Rivera</t>
  </si>
  <si>
    <t>Ellison-Hayden</t>
  </si>
  <si>
    <t>nATaLiE aNdeRson</t>
  </si>
  <si>
    <t>Cindy Maxwell</t>
  </si>
  <si>
    <t>Long-Lee</t>
  </si>
  <si>
    <t>jAsminE RodrIgueZ</t>
  </si>
  <si>
    <t>Crystal Hays</t>
  </si>
  <si>
    <t>Graves LLC</t>
  </si>
  <si>
    <t>deBRA MCkee</t>
  </si>
  <si>
    <t>Jay Barr</t>
  </si>
  <si>
    <t>and Sons Dixon</t>
  </si>
  <si>
    <t>sANDRa GReENe</t>
  </si>
  <si>
    <t>Lisa Long</t>
  </si>
  <si>
    <t>Clark, Garza Tate and</t>
  </si>
  <si>
    <t>cRystAl MorRIS</t>
  </si>
  <si>
    <t>Brianna Kelly</t>
  </si>
  <si>
    <t>Bates Inc</t>
  </si>
  <si>
    <t>jaSoN pArKER</t>
  </si>
  <si>
    <t>David Hanson</t>
  </si>
  <si>
    <t>LLC Sanford</t>
  </si>
  <si>
    <t>ROy JONEs</t>
  </si>
  <si>
    <t>David Stevens</t>
  </si>
  <si>
    <t>and Harper Sons</t>
  </si>
  <si>
    <t>RIcHaRd aNDeRsoN</t>
  </si>
  <si>
    <t>Richard Ayala</t>
  </si>
  <si>
    <t>Young Mcclain, Newman and</t>
  </si>
  <si>
    <t>JenNIfEr FoSTer</t>
  </si>
  <si>
    <t>Nathan Adams</t>
  </si>
  <si>
    <t>Ray, Cain and Miller</t>
  </si>
  <si>
    <t>dEBBIE wILSOn</t>
  </si>
  <si>
    <t>Jennifer Munoz</t>
  </si>
  <si>
    <t>Zamora-Rivers</t>
  </si>
  <si>
    <t>tRavIS flOreS</t>
  </si>
  <si>
    <t>Beth Brown</t>
  </si>
  <si>
    <t>and Perez Smith, Kim</t>
  </si>
  <si>
    <t>emIly yOUNg</t>
  </si>
  <si>
    <t>Karen Jones</t>
  </si>
  <si>
    <t>Johnson-Wilson</t>
  </si>
  <si>
    <t>sANDy halL</t>
  </si>
  <si>
    <t>Seth Burnett</t>
  </si>
  <si>
    <t>Delacruz-Chavez</t>
  </si>
  <si>
    <t>madIsOn WRigHT</t>
  </si>
  <si>
    <t>Kevin Johnson</t>
  </si>
  <si>
    <t>and Gonzalez, Warren Moore</t>
  </si>
  <si>
    <t>AMy manN</t>
  </si>
  <si>
    <t>Julie Garza</t>
  </si>
  <si>
    <t>Ramirez-Humphrey</t>
  </si>
  <si>
    <t>Jason stEELe</t>
  </si>
  <si>
    <t>Brian Mack</t>
  </si>
  <si>
    <t>and Sons Ford</t>
  </si>
  <si>
    <t>PAmEla mIDdlEtoN</t>
  </si>
  <si>
    <t>Jennifer Johnson</t>
  </si>
  <si>
    <t>and Wells, Thomas Kline</t>
  </si>
  <si>
    <t>liSA JAcKsOn</t>
  </si>
  <si>
    <t>Joseph Barnes</t>
  </si>
  <si>
    <t>Wood-Herring</t>
  </si>
  <si>
    <t>SaMantHA PATEl</t>
  </si>
  <si>
    <t>Daryl Cross</t>
  </si>
  <si>
    <t>Wilkerson LLC</t>
  </si>
  <si>
    <t>HeRberT RodRIGUEZ</t>
  </si>
  <si>
    <t>Jonathan Edwards</t>
  </si>
  <si>
    <t>Brown-Henry</t>
  </si>
  <si>
    <t>OliviA pOWELl</t>
  </si>
  <si>
    <t>Adam Hardy</t>
  </si>
  <si>
    <t>Sheppard-Livingston</t>
  </si>
  <si>
    <t>SAmaNThA PERkins</t>
  </si>
  <si>
    <t>Robert Ashley</t>
  </si>
  <si>
    <t>Golden PLC</t>
  </si>
  <si>
    <t>mIchaeL POtTs</t>
  </si>
  <si>
    <t>Mary Vaughn</t>
  </si>
  <si>
    <t>and Perez, Bennett Townsend</t>
  </si>
  <si>
    <t>KeRRy HErnANDEz</t>
  </si>
  <si>
    <t>Steven Simmons</t>
  </si>
  <si>
    <t>Johnson, and Benson Harris</t>
  </si>
  <si>
    <t>jOSHUa reyEs</t>
  </si>
  <si>
    <t>Mrs. Jessica Martinez</t>
  </si>
  <si>
    <t>and Clay, Morton Cunningham</t>
  </si>
  <si>
    <t>JeNniFER oRteGA</t>
  </si>
  <si>
    <t>Erin Arias</t>
  </si>
  <si>
    <t>Anderson-Estrada</t>
  </si>
  <si>
    <t>BrIttANY BRaun</t>
  </si>
  <si>
    <t>Daniel Golden</t>
  </si>
  <si>
    <t>and Sons Carlson</t>
  </si>
  <si>
    <t>daniel cHEn</t>
  </si>
  <si>
    <t>Anthony Malone</t>
  </si>
  <si>
    <t>Gonzalez Inc</t>
  </si>
  <si>
    <t>ErICA hart</t>
  </si>
  <si>
    <t>Charlotte Reyes MD</t>
  </si>
  <si>
    <t>Schaefer-Hoffman</t>
  </si>
  <si>
    <t>alIcIa scOTt</t>
  </si>
  <si>
    <t>Miguel Green</t>
  </si>
  <si>
    <t>amandA aGUIrRE</t>
  </si>
  <si>
    <t>Frederick White</t>
  </si>
  <si>
    <t>and Vargas Reynolds Evans,</t>
  </si>
  <si>
    <t>mark hIcKs</t>
  </si>
  <si>
    <t>Lisa Ruiz</t>
  </si>
  <si>
    <t>Cantu and Tanner Rojas,</t>
  </si>
  <si>
    <t>TIMOtHy daVIS</t>
  </si>
  <si>
    <t>Cody Rice</t>
  </si>
  <si>
    <t>Thornton, Adams Mccarty and</t>
  </si>
  <si>
    <t>LONNIE DomInguEZ</t>
  </si>
  <si>
    <t>April Foster</t>
  </si>
  <si>
    <t>Cantrell-Griffith</t>
  </si>
  <si>
    <t>KIMbERLY hALE</t>
  </si>
  <si>
    <t>Justin Russell</t>
  </si>
  <si>
    <t>Martin Group</t>
  </si>
  <si>
    <t>Dana WilLIAMsoN</t>
  </si>
  <si>
    <t>Daniel Thomas</t>
  </si>
  <si>
    <t>and Sons Nelson</t>
  </si>
  <si>
    <t>mr. GEORGe BROwN jr.</t>
  </si>
  <si>
    <t>Emily Williamson</t>
  </si>
  <si>
    <t>Ramirez-Hill</t>
  </si>
  <si>
    <t>ALLEn cAmACho</t>
  </si>
  <si>
    <t>Veronica Christian</t>
  </si>
  <si>
    <t>Jackson-Butler</t>
  </si>
  <si>
    <t>NATHan woOdS</t>
  </si>
  <si>
    <t>Monica Odonnell</t>
  </si>
  <si>
    <t>Miller-Avila</t>
  </si>
  <si>
    <t>caTheriNe sMitH</t>
  </si>
  <si>
    <t>Cody Berger</t>
  </si>
  <si>
    <t>Reyes-Crawford</t>
  </si>
  <si>
    <t>JerRy leE</t>
  </si>
  <si>
    <t>Jeffrey White</t>
  </si>
  <si>
    <t>Marshall-Smith</t>
  </si>
  <si>
    <t>AlexaNder COLEMan</t>
  </si>
  <si>
    <t>Stacey Burgess</t>
  </si>
  <si>
    <t>and Peterson Matthews Robinson,</t>
  </si>
  <si>
    <t>dAvid JENSEN</t>
  </si>
  <si>
    <t>Ethan Spencer</t>
  </si>
  <si>
    <t>Nelson PLC</t>
  </si>
  <si>
    <t>DeBORAH EVaNs</t>
  </si>
  <si>
    <t>Jonathan Baker</t>
  </si>
  <si>
    <t>Perez-Mitchell</t>
  </si>
  <si>
    <t>ALEXaNdRIa coLon</t>
  </si>
  <si>
    <t>Tonya Burton</t>
  </si>
  <si>
    <t>Gross, Thompson Smith and</t>
  </si>
  <si>
    <t>sAMUEL HANSOn</t>
  </si>
  <si>
    <t>Phillip Campos</t>
  </si>
  <si>
    <t>Burch, Moore and Thompson</t>
  </si>
  <si>
    <t>BryaN phILliPS</t>
  </si>
  <si>
    <t>Billy Rodgers</t>
  </si>
  <si>
    <t>Hamilton Group</t>
  </si>
  <si>
    <t>naThaN wileY</t>
  </si>
  <si>
    <t>Sherri Campbell</t>
  </si>
  <si>
    <t>Shaw LLC</t>
  </si>
  <si>
    <t>ALiShA muRpHy</t>
  </si>
  <si>
    <t>Alex Neal</t>
  </si>
  <si>
    <t>and Day, Lewis Coleman</t>
  </si>
  <si>
    <t>AMANdA lUcEro</t>
  </si>
  <si>
    <t>Mark Martin</t>
  </si>
  <si>
    <t>Stone-Perez</t>
  </si>
  <si>
    <t>SHeIla SelLErs</t>
  </si>
  <si>
    <t>James Smith</t>
  </si>
  <si>
    <t>Ltd Foley</t>
  </si>
  <si>
    <t>sUSaN Chan</t>
  </si>
  <si>
    <t>Amber Walker</t>
  </si>
  <si>
    <t>Ward-Mayer</t>
  </si>
  <si>
    <t>AnGEL MiTChelL</t>
  </si>
  <si>
    <t>Laura Pena</t>
  </si>
  <si>
    <t>DARleNE cohEN</t>
  </si>
  <si>
    <t>Tracy Wilson</t>
  </si>
  <si>
    <t>Group Anderson</t>
  </si>
  <si>
    <t>KrIStY ONeILl</t>
  </si>
  <si>
    <t>Michelle Cox</t>
  </si>
  <si>
    <t>Garcia, and Marshall Maxwell</t>
  </si>
  <si>
    <t>sHErrI gArCia</t>
  </si>
  <si>
    <t>Marie Reed</t>
  </si>
  <si>
    <t>Inc Martinez</t>
  </si>
  <si>
    <t>MIChaEL wEber</t>
  </si>
  <si>
    <t>Philip Vaughn</t>
  </si>
  <si>
    <t>Mcmahon Ortiz, Owens and</t>
  </si>
  <si>
    <t>BETh sChwaRTZ</t>
  </si>
  <si>
    <t>Kyle Montes</t>
  </si>
  <si>
    <t>Williams-Saunders</t>
  </si>
  <si>
    <t>cYnTHIA cLARKE</t>
  </si>
  <si>
    <t>Mr. Ronald Hoover</t>
  </si>
  <si>
    <t>Spencer Ltd</t>
  </si>
  <si>
    <t>MArK GiLES</t>
  </si>
  <si>
    <t>Daniel Hurley</t>
  </si>
  <si>
    <t>Mathis-Schwartz</t>
  </si>
  <si>
    <t>TAmara beltRaN</t>
  </si>
  <si>
    <t>Romero-Ramsey</t>
  </si>
  <si>
    <t>JOsEpH guTierReZ</t>
  </si>
  <si>
    <t>Christopher Mills</t>
  </si>
  <si>
    <t>Avery and Sons</t>
  </si>
  <si>
    <t>JAmiE jimeNEZ</t>
  </si>
  <si>
    <t>Richard Webster</t>
  </si>
  <si>
    <t>Ltd Richardson</t>
  </si>
  <si>
    <t>chARles MUrPHY</t>
  </si>
  <si>
    <t>David Soto</t>
  </si>
  <si>
    <t>and Sons Williams</t>
  </si>
  <si>
    <t>CArLOS lOPEz</t>
  </si>
  <si>
    <t>Michael Paul</t>
  </si>
  <si>
    <t>Carter-Reyes</t>
  </si>
  <si>
    <t>joHnnY IrWIN</t>
  </si>
  <si>
    <t>Robert Gregory</t>
  </si>
  <si>
    <t>LLC Gray</t>
  </si>
  <si>
    <t>SCOTT wERNeR</t>
  </si>
  <si>
    <t>Ashley Lane</t>
  </si>
  <si>
    <t>Gonzalez Anderson Jacobson, and</t>
  </si>
  <si>
    <t>TeRRi stEWart</t>
  </si>
  <si>
    <t>Jennifer Brown</t>
  </si>
  <si>
    <t>Miller Massey Lopez, and</t>
  </si>
  <si>
    <t>dAVId DaviS</t>
  </si>
  <si>
    <t>Kristen Aguirre</t>
  </si>
  <si>
    <t>Taylor Walsh Hawkins, and</t>
  </si>
  <si>
    <t>StEpheN HaRRIS</t>
  </si>
  <si>
    <t>Kathryn Trevino</t>
  </si>
  <si>
    <t>LLC Brown</t>
  </si>
  <si>
    <t>briDgeT Adams</t>
  </si>
  <si>
    <t>Amanda Ramos</t>
  </si>
  <si>
    <t>Nelson-Wong</t>
  </si>
  <si>
    <t>MIchAEL MortON</t>
  </si>
  <si>
    <t>Mr. William Decker</t>
  </si>
  <si>
    <t>LLC Berry</t>
  </si>
  <si>
    <t>MIchElLE LIU</t>
  </si>
  <si>
    <t>Michael Grant</t>
  </si>
  <si>
    <t>Anderson-Jenkins</t>
  </si>
  <si>
    <t>ReGina bRIght</t>
  </si>
  <si>
    <t>Megan Jones</t>
  </si>
  <si>
    <t>Wells and Sons</t>
  </si>
  <si>
    <t>SaMuel decKEr</t>
  </si>
  <si>
    <t>Mr. Andrew Hall Jr.</t>
  </si>
  <si>
    <t>Allen, Williams and Phillips</t>
  </si>
  <si>
    <t>pAuL wRiGHt</t>
  </si>
  <si>
    <t>Joseph Hernandez</t>
  </si>
  <si>
    <t>Gonzalez-Cummings</t>
  </si>
  <si>
    <t>brIAN OlSOn</t>
  </si>
  <si>
    <t>Bryan Brock</t>
  </si>
  <si>
    <t>and Richardson Webster Smith,</t>
  </si>
  <si>
    <t>TRaCEy harRiSOn</t>
  </si>
  <si>
    <t>Austin Henderson</t>
  </si>
  <si>
    <t>Hudson-Flores</t>
  </si>
  <si>
    <t>ERiKa joHNsoN</t>
  </si>
  <si>
    <t>Jessica Bruce MD</t>
  </si>
  <si>
    <t>Inc Rios</t>
  </si>
  <si>
    <t>PEteR CuNnInghAm</t>
  </si>
  <si>
    <t>Kenneth Green</t>
  </si>
  <si>
    <t>PLC Thompson</t>
  </si>
  <si>
    <t>sIErrA whITe</t>
  </si>
  <si>
    <t>Shelley Garcia</t>
  </si>
  <si>
    <t>Rosario Wells, Roberts and</t>
  </si>
  <si>
    <t>eDdIe rUSsO dVm</t>
  </si>
  <si>
    <t>Justin Douglas</t>
  </si>
  <si>
    <t>Ramirez-Taylor</t>
  </si>
  <si>
    <t>yvEtte tuRnER</t>
  </si>
  <si>
    <t>William Faulkner</t>
  </si>
  <si>
    <t>Murphy-Mason</t>
  </si>
  <si>
    <t>jameS cHArLes</t>
  </si>
  <si>
    <t>Stephanie Davis</t>
  </si>
  <si>
    <t>Edwards Johnson, and Burgess</t>
  </si>
  <si>
    <t>ALexis ALlEn</t>
  </si>
  <si>
    <t>Ronald Parker</t>
  </si>
  <si>
    <t>LLC Spears</t>
  </si>
  <si>
    <t>stephAnIe martIN</t>
  </si>
  <si>
    <t>Kevin Tucker</t>
  </si>
  <si>
    <t>Perez-Smith</t>
  </si>
  <si>
    <t>SHelBy AndeRson</t>
  </si>
  <si>
    <t>Katrina Allen</t>
  </si>
  <si>
    <t>and Sons Mcbride</t>
  </si>
  <si>
    <t>aBIGail FarmEr</t>
  </si>
  <si>
    <t>Alicia Lopez</t>
  </si>
  <si>
    <t>Sons and Chapman</t>
  </si>
  <si>
    <t>chrIStINa MiLLER</t>
  </si>
  <si>
    <t>Stephen Lopez</t>
  </si>
  <si>
    <t>Cole-Davila</t>
  </si>
  <si>
    <t>MAtTHew wYAtt</t>
  </si>
  <si>
    <t>Alexandra Sims</t>
  </si>
  <si>
    <t>Pearson, and Lynch Oconnor</t>
  </si>
  <si>
    <t>dAvID MOnTOYa</t>
  </si>
  <si>
    <t>Andrea Lee</t>
  </si>
  <si>
    <t>Rivera-Peck</t>
  </si>
  <si>
    <t>eRic ParK</t>
  </si>
  <si>
    <t>Olivia Anderson</t>
  </si>
  <si>
    <t>Hess-White</t>
  </si>
  <si>
    <t>lOrI trEVinO</t>
  </si>
  <si>
    <t>Michelle Barnett</t>
  </si>
  <si>
    <t>Fox and Moreno Williams,</t>
  </si>
  <si>
    <t>dWaYNe CASTIllO</t>
  </si>
  <si>
    <t>Johnathan Mcmahon</t>
  </si>
  <si>
    <t>Johnson-Estrada</t>
  </si>
  <si>
    <t>kRIStInE mcCALl</t>
  </si>
  <si>
    <t>Deborah Lawson</t>
  </si>
  <si>
    <t>Rivera-Mosley</t>
  </si>
  <si>
    <t>jOsepH SelLeRs</t>
  </si>
  <si>
    <t>Diana Boyd</t>
  </si>
  <si>
    <t>Diaz Smith Johnson, and</t>
  </si>
  <si>
    <t>dR. DONalD AndersON</t>
  </si>
  <si>
    <t>Crystal Ritter</t>
  </si>
  <si>
    <t>Harris-Ingram</t>
  </si>
  <si>
    <t>VicToRiA WiLLiAMS</t>
  </si>
  <si>
    <t>Carla Mcneil</t>
  </si>
  <si>
    <t>and Esparza Sons</t>
  </si>
  <si>
    <t>anna jONEs</t>
  </si>
  <si>
    <t>Peggy Nunez</t>
  </si>
  <si>
    <t>Hunt Sons and</t>
  </si>
  <si>
    <t>mR. RobeRT DaVIS</t>
  </si>
  <si>
    <t>Kenneth White</t>
  </si>
  <si>
    <t>jeFfrEY HALl</t>
  </si>
  <si>
    <t>Leonard Alvarez</t>
  </si>
  <si>
    <t>tERrY GRAvEs</t>
  </si>
  <si>
    <t>Henry Rogers</t>
  </si>
  <si>
    <t>Foster Lamb, Graham and</t>
  </si>
  <si>
    <t>JErome MorAles</t>
  </si>
  <si>
    <t>George Smith</t>
  </si>
  <si>
    <t>Sanchez LLC</t>
  </si>
  <si>
    <t>kEith ROdRiGuez</t>
  </si>
  <si>
    <t>Anthony Anderson</t>
  </si>
  <si>
    <t>Fox-Anthony</t>
  </si>
  <si>
    <t>tAmARA davENpOrT</t>
  </si>
  <si>
    <t>Meghan Bailey</t>
  </si>
  <si>
    <t>Fuentes Knight, Sandoval and</t>
  </si>
  <si>
    <t>JOnatHAN SiMON</t>
  </si>
  <si>
    <t>Jason Phillips</t>
  </si>
  <si>
    <t>Hudson-Williams</t>
  </si>
  <si>
    <t>HolLY ARMsTrOnG</t>
  </si>
  <si>
    <t>Bailey Ibarra</t>
  </si>
  <si>
    <t>Lowery, Dunn Anderson and</t>
  </si>
  <si>
    <t>rONaLd bAnKs</t>
  </si>
  <si>
    <t>Kelsey Simpson</t>
  </si>
  <si>
    <t>Mullen-Hernandez</t>
  </si>
  <si>
    <t>rYAn BRadforD DDS</t>
  </si>
  <si>
    <t>Sarah Guerra</t>
  </si>
  <si>
    <t>Herman, Liu and Hill</t>
  </si>
  <si>
    <t>jaNICE hAlL</t>
  </si>
  <si>
    <t>Tony Matthews</t>
  </si>
  <si>
    <t>Davis White, Flores and</t>
  </si>
  <si>
    <t>JaCOB mcDOnaLD</t>
  </si>
  <si>
    <t>Williams-Jones</t>
  </si>
  <si>
    <t>GlENN maSSeY</t>
  </si>
  <si>
    <t>Michael Villanueva</t>
  </si>
  <si>
    <t>Inc Holloway</t>
  </si>
  <si>
    <t>SAndrA mURray</t>
  </si>
  <si>
    <t>Alan Cain</t>
  </si>
  <si>
    <t>Phillips Jones and Wu,</t>
  </si>
  <si>
    <t>maRK wiLLIaMs</t>
  </si>
  <si>
    <t>Melissa Turner</t>
  </si>
  <si>
    <t>Wilson and Lopez, Molina</t>
  </si>
  <si>
    <t>stEPHAnie rEid dvm</t>
  </si>
  <si>
    <t>Alexander Robles</t>
  </si>
  <si>
    <t>Jones-Garrett</t>
  </si>
  <si>
    <t>sEth BArTleTt ii</t>
  </si>
  <si>
    <t>Joseph Carr</t>
  </si>
  <si>
    <t>and Brown, James Green</t>
  </si>
  <si>
    <t>jerEmY rIcH</t>
  </si>
  <si>
    <t>David Poole</t>
  </si>
  <si>
    <t>Meadows and Nelson, Owen</t>
  </si>
  <si>
    <t>eLIZAbeTh MiLLEr</t>
  </si>
  <si>
    <t>Cynthia Thomas</t>
  </si>
  <si>
    <t>Sons and Gallegos</t>
  </si>
  <si>
    <t>ErIn MaRtiN</t>
  </si>
  <si>
    <t>Rebecca Reed</t>
  </si>
  <si>
    <t>Davis Group</t>
  </si>
  <si>
    <t>FRaNK HESS</t>
  </si>
  <si>
    <t>Steven Boyle</t>
  </si>
  <si>
    <t>Herrera Group</t>
  </si>
  <si>
    <t>pAul Rogers</t>
  </si>
  <si>
    <t>Bryan Wu</t>
  </si>
  <si>
    <t>Juarez-Weiss</t>
  </si>
  <si>
    <t>JEnNiFEr edWArDS</t>
  </si>
  <si>
    <t>James Quinn</t>
  </si>
  <si>
    <t>Dawson-Jones</t>
  </si>
  <si>
    <t>BRian halL</t>
  </si>
  <si>
    <t>Ryan Rich</t>
  </si>
  <si>
    <t>Hickman Group</t>
  </si>
  <si>
    <t>kIMbERly WILLIamS</t>
  </si>
  <si>
    <t>James Robinson</t>
  </si>
  <si>
    <t>Herman-Ewing</t>
  </si>
  <si>
    <t>IsAaC MENdeZ</t>
  </si>
  <si>
    <t>Edwin Sparks</t>
  </si>
  <si>
    <t>Gutierrez Inc</t>
  </si>
  <si>
    <t>SarAh SmitH</t>
  </si>
  <si>
    <t>Tyler Parsons</t>
  </si>
  <si>
    <t>Hurley-Gill</t>
  </si>
  <si>
    <t>dAniEl Wolf</t>
  </si>
  <si>
    <t>Kirk Rich II</t>
  </si>
  <si>
    <t>Dillon PLC</t>
  </si>
  <si>
    <t>RobeRT RoSS</t>
  </si>
  <si>
    <t>Andrew Neal</t>
  </si>
  <si>
    <t>Murphy, and Garcia Jones</t>
  </si>
  <si>
    <t>DOuglAS fosTEr</t>
  </si>
  <si>
    <t>Susan Silva</t>
  </si>
  <si>
    <t>Ramsey-Thomas</t>
  </si>
  <si>
    <t>LOuIS LoWERY</t>
  </si>
  <si>
    <t>Lynn York</t>
  </si>
  <si>
    <t>Miller and Sons</t>
  </si>
  <si>
    <t>JESsICA Tyler</t>
  </si>
  <si>
    <t>Ellen Bush</t>
  </si>
  <si>
    <t>Chung Herrera, and Pollard</t>
  </si>
  <si>
    <t>wiLLiAm davIES</t>
  </si>
  <si>
    <t>Anthony Smith</t>
  </si>
  <si>
    <t>and Hernandez Waters, Cruz</t>
  </si>
  <si>
    <t>JeSSICA rEyeS</t>
  </si>
  <si>
    <t>Mary Schwartz</t>
  </si>
  <si>
    <t>Schmidt Sons and</t>
  </si>
  <si>
    <t>dAnIEl JoneS</t>
  </si>
  <si>
    <t>Victoria Osborne</t>
  </si>
  <si>
    <t>and Carroll Orr Kelly,</t>
  </si>
  <si>
    <t>PAUla moRaLes</t>
  </si>
  <si>
    <t>Regina Glass</t>
  </si>
  <si>
    <t>Smith and Rose Rivera,</t>
  </si>
  <si>
    <t>DAvId spEArS</t>
  </si>
  <si>
    <t>Craig Ray</t>
  </si>
  <si>
    <t>Odonnell-Watts</t>
  </si>
  <si>
    <t>ScoTT bErRY</t>
  </si>
  <si>
    <t>Carlos Steele</t>
  </si>
  <si>
    <t>Inc Roberts</t>
  </si>
  <si>
    <t>dAltON NGuYEN</t>
  </si>
  <si>
    <t>Michael Pugh</t>
  </si>
  <si>
    <t>LLC Chaney</t>
  </si>
  <si>
    <t>SCoTT clARK</t>
  </si>
  <si>
    <t>Mark Mccarthy</t>
  </si>
  <si>
    <t>Hutchinson, Wilson Daniel and</t>
  </si>
  <si>
    <t>JaMIE bAKEr</t>
  </si>
  <si>
    <t>Shane Green</t>
  </si>
  <si>
    <t>Davis-Martin</t>
  </si>
  <si>
    <t>couRTnEy pAtrick</t>
  </si>
  <si>
    <t>Hayley Payne</t>
  </si>
  <si>
    <t>and Thompson Cook Wiggins,</t>
  </si>
  <si>
    <t>wILLiAm waRE</t>
  </si>
  <si>
    <t>Christopher Sharp</t>
  </si>
  <si>
    <t>Baldwin PLC</t>
  </si>
  <si>
    <t>AmBer andeRSoN</t>
  </si>
  <si>
    <t>Joseph Chandler</t>
  </si>
  <si>
    <t>Heath-Brown</t>
  </si>
  <si>
    <t>caSey joHNson</t>
  </si>
  <si>
    <t>Brandi Elliott</t>
  </si>
  <si>
    <t>Mendez, and Smith Munoz</t>
  </si>
  <si>
    <t>ZAcHaRY ColLins</t>
  </si>
  <si>
    <t>Brian Fox</t>
  </si>
  <si>
    <t>Inc Daugherty</t>
  </si>
  <si>
    <t>ZACHArY rEed</t>
  </si>
  <si>
    <t>Paul Coleman</t>
  </si>
  <si>
    <t>Gonzalez LLC</t>
  </si>
  <si>
    <t>CHRisTOPHer wEiss</t>
  </si>
  <si>
    <t>Kelly Thompson</t>
  </si>
  <si>
    <t>Hunter-Hughes</t>
  </si>
  <si>
    <t>CHArleS sTrong</t>
  </si>
  <si>
    <t>Corey Perez</t>
  </si>
  <si>
    <t>and Woods, Rodriguez Williams</t>
  </si>
  <si>
    <t>kathErINE KeLLY</t>
  </si>
  <si>
    <t>Blake Phillips</t>
  </si>
  <si>
    <t>Lowery-Howard</t>
  </si>
  <si>
    <t>chrIstOPhEr heNdERSon</t>
  </si>
  <si>
    <t>Nicole Phelps</t>
  </si>
  <si>
    <t>Colon-Leon</t>
  </si>
  <si>
    <t>jOsEPh bROWn</t>
  </si>
  <si>
    <t>Lorraine Powers</t>
  </si>
  <si>
    <t>Boyle-Woods</t>
  </si>
  <si>
    <t>josEpH SAncHEz</t>
  </si>
  <si>
    <t>Michael Colon</t>
  </si>
  <si>
    <t>and Graham Morris, Gonzales</t>
  </si>
  <si>
    <t>KYle pEREz</t>
  </si>
  <si>
    <t>Taylor Sullivan</t>
  </si>
  <si>
    <t>Tucker-Moyer</t>
  </si>
  <si>
    <t>EdUaRdO hOuSTOn</t>
  </si>
  <si>
    <t>Natalie Howell</t>
  </si>
  <si>
    <t>Sons and Stephenson</t>
  </si>
  <si>
    <t>lORi roACh</t>
  </si>
  <si>
    <t>Lonnie Duncan</t>
  </si>
  <si>
    <t>Hernandez PLC</t>
  </si>
  <si>
    <t>ErIc bUtleR</t>
  </si>
  <si>
    <t>Bruce Rivera</t>
  </si>
  <si>
    <t>Dougherty Group</t>
  </si>
  <si>
    <t>jEfFREY bROWn</t>
  </si>
  <si>
    <t>Jordan Shannon</t>
  </si>
  <si>
    <t>Morgan Zimmerman, Matthews and</t>
  </si>
  <si>
    <t>ThOmAs hAAS</t>
  </si>
  <si>
    <t>Cindy Jones</t>
  </si>
  <si>
    <t>Jimenez-Huff</t>
  </si>
  <si>
    <t>kelLY tURner</t>
  </si>
  <si>
    <t>Reginald Mckinney</t>
  </si>
  <si>
    <t>Stevenson-Chen</t>
  </si>
  <si>
    <t>lANce SiMPsOn</t>
  </si>
  <si>
    <t>Tiffany Hunt</t>
  </si>
  <si>
    <t>Parker-White</t>
  </si>
  <si>
    <t>jeffrey GReeN</t>
  </si>
  <si>
    <t>Frank Pierce</t>
  </si>
  <si>
    <t>Vang Schneider and Torres,</t>
  </si>
  <si>
    <t>ErIc cOLlInS</t>
  </si>
  <si>
    <t>Olivia White</t>
  </si>
  <si>
    <t>Booth-Williams</t>
  </si>
  <si>
    <t>brIanNa wiLlIaMs</t>
  </si>
  <si>
    <t>Laura Hill</t>
  </si>
  <si>
    <t>Gray-Black</t>
  </si>
  <si>
    <t>RoBerT gRavEs</t>
  </si>
  <si>
    <t>Angela Rogers</t>
  </si>
  <si>
    <t>Johnson-Garcia</t>
  </si>
  <si>
    <t>CINDy wiLLIamS</t>
  </si>
  <si>
    <t>Salinas Terrell Villanueva, and</t>
  </si>
  <si>
    <t>VIcToR sULLivan</t>
  </si>
  <si>
    <t>Phelps Group</t>
  </si>
  <si>
    <t>Frank SCotT</t>
  </si>
  <si>
    <t>Jonathan Jimenez</t>
  </si>
  <si>
    <t>Harrison and Erickson, Barnett</t>
  </si>
  <si>
    <t>Mark BRaDShaw</t>
  </si>
  <si>
    <t>Ashley Bishop</t>
  </si>
  <si>
    <t>Fischer Ltd</t>
  </si>
  <si>
    <t>JeSSicA duNn</t>
  </si>
  <si>
    <t>Charles Harris</t>
  </si>
  <si>
    <t>Rhodes-Kelly</t>
  </si>
  <si>
    <t>KELsEy foX</t>
  </si>
  <si>
    <t>Brandon Richardson</t>
  </si>
  <si>
    <t>Tate Pierce and Jackson,</t>
  </si>
  <si>
    <t>MarY RICE</t>
  </si>
  <si>
    <t>Shane Wong</t>
  </si>
  <si>
    <t>Inc Daniel</t>
  </si>
  <si>
    <t>RACHeL jaCKSON</t>
  </si>
  <si>
    <t>Michael Oliver</t>
  </si>
  <si>
    <t>and Roberson Lee Young,</t>
  </si>
  <si>
    <t>leah FRederICk</t>
  </si>
  <si>
    <t>John Cooper</t>
  </si>
  <si>
    <t>Giles-Miller</t>
  </si>
  <si>
    <t>COnnOr ODoNNell</t>
  </si>
  <si>
    <t>Daniel Freeman</t>
  </si>
  <si>
    <t>Martinez, and Snyder Hill</t>
  </si>
  <si>
    <t>clAUdIa DoWNS</t>
  </si>
  <si>
    <t>Adriana Gould</t>
  </si>
  <si>
    <t>Barber-Page</t>
  </si>
  <si>
    <t>wIlliaM LaNG</t>
  </si>
  <si>
    <t>Amanda Hall</t>
  </si>
  <si>
    <t>and Hess Delgado Foster,</t>
  </si>
  <si>
    <t>LIsA MORAn</t>
  </si>
  <si>
    <t>Michael Mcbride</t>
  </si>
  <si>
    <t>Johnson-Holland</t>
  </si>
  <si>
    <t>rUBeN BUrTOn</t>
  </si>
  <si>
    <t>Deborah Wise</t>
  </si>
  <si>
    <t>and Gonzales Dunn, Camacho</t>
  </si>
  <si>
    <t>bRANdon sMith</t>
  </si>
  <si>
    <t>Ronald Edwards</t>
  </si>
  <si>
    <t>Rodriguez Diaz Daugherty, and</t>
  </si>
  <si>
    <t>jeSSiCa MURPHY</t>
  </si>
  <si>
    <t>Raymond Bowen</t>
  </si>
  <si>
    <t>Rowland-Abbott</t>
  </si>
  <si>
    <t>miSty wiLLIamS</t>
  </si>
  <si>
    <t>Jill Bailey</t>
  </si>
  <si>
    <t>Murphy, Reid Knox and</t>
  </si>
  <si>
    <t>brAndY GEORGE</t>
  </si>
  <si>
    <t>Jennifer Pope</t>
  </si>
  <si>
    <t>Ryan-Mcneil</t>
  </si>
  <si>
    <t>ANDrea Buck</t>
  </si>
  <si>
    <t>Taylor Craig</t>
  </si>
  <si>
    <t>Ramos Miller and Moore,</t>
  </si>
  <si>
    <t>STephanIE bUrKE</t>
  </si>
  <si>
    <t>Kristy Waters</t>
  </si>
  <si>
    <t>Sons Cherry and</t>
  </si>
  <si>
    <t>STEPHaNiE moON</t>
  </si>
  <si>
    <t>Elizabeth Blevins</t>
  </si>
  <si>
    <t>Cook LLC</t>
  </si>
  <si>
    <t>sHaRON joHnsON</t>
  </si>
  <si>
    <t>Janice Jones</t>
  </si>
  <si>
    <t>Phillips Ltd</t>
  </si>
  <si>
    <t>MaTtHeW haLEY</t>
  </si>
  <si>
    <t>Joann Anderson</t>
  </si>
  <si>
    <t>Oliver Griffin Johnson, and</t>
  </si>
  <si>
    <t>SaBRInA May</t>
  </si>
  <si>
    <t>Christine Mejia</t>
  </si>
  <si>
    <t>Gregory Group</t>
  </si>
  <si>
    <t>melindA aUstiN</t>
  </si>
  <si>
    <t>Pamela Reed</t>
  </si>
  <si>
    <t>and Camacho Thomas Malone,</t>
  </si>
  <si>
    <t>angElA MonTgOmery</t>
  </si>
  <si>
    <t>William Holmes</t>
  </si>
  <si>
    <t>LLC Smith</t>
  </si>
  <si>
    <t>VAnessA MaRTiN</t>
  </si>
  <si>
    <t>Heather Bowman</t>
  </si>
  <si>
    <t>Cunningham Andrade and Butler,</t>
  </si>
  <si>
    <t>gABriel steVEnS</t>
  </si>
  <si>
    <t>Brittany Burns</t>
  </si>
  <si>
    <t>Curtis-Lin</t>
  </si>
  <si>
    <t>MichAEL wOLfE</t>
  </si>
  <si>
    <t>Amber Carpenter</t>
  </si>
  <si>
    <t>Ltd Smith</t>
  </si>
  <si>
    <t>bROokE TorreS</t>
  </si>
  <si>
    <t>Kimberly Castaneda</t>
  </si>
  <si>
    <t>Inc Sanchez</t>
  </si>
  <si>
    <t>vicTOr DUKE</t>
  </si>
  <si>
    <t>Jessica Vasquez</t>
  </si>
  <si>
    <t>Rice, Cooper Rivera and</t>
  </si>
  <si>
    <t>josepH gaRrETt</t>
  </si>
  <si>
    <t>Joseph Robinson</t>
  </si>
  <si>
    <t>Garcia LLC</t>
  </si>
  <si>
    <t>kARa lI</t>
  </si>
  <si>
    <t>Travis Morales</t>
  </si>
  <si>
    <t>Bell Ltd</t>
  </si>
  <si>
    <t>jUan kEllEy</t>
  </si>
  <si>
    <t>Carrie Montes</t>
  </si>
  <si>
    <t>Hogan, Young Holmes and</t>
  </si>
  <si>
    <t>sHawNA rUsseLl</t>
  </si>
  <si>
    <t>Alexander Walters</t>
  </si>
  <si>
    <t>Vazquez-Sanchez</t>
  </si>
  <si>
    <t>LOrI LawREnce</t>
  </si>
  <si>
    <t>Justin Paul</t>
  </si>
  <si>
    <t>Mcintyre Ltd</t>
  </si>
  <si>
    <t>WhItney jonES</t>
  </si>
  <si>
    <t>Curtis Fox</t>
  </si>
  <si>
    <t>White Roberts and Lee,</t>
  </si>
  <si>
    <t>JOE DaVila</t>
  </si>
  <si>
    <t>Theresa Harrison</t>
  </si>
  <si>
    <t>Simpson Espinoza, and Thompson</t>
  </si>
  <si>
    <t>lISa KELlEr</t>
  </si>
  <si>
    <t>Mark Maynard</t>
  </si>
  <si>
    <t>and Moore Sons</t>
  </si>
  <si>
    <t>jOrdAN BUSh</t>
  </si>
  <si>
    <t>Randy Graham</t>
  </si>
  <si>
    <t>and Mclaughlin Powers Stevens,</t>
  </si>
  <si>
    <t>BrEnDA yU</t>
  </si>
  <si>
    <t>Michael Jenkins</t>
  </si>
  <si>
    <t>and Anderson, Porter Becker</t>
  </si>
  <si>
    <t>JASmine sHort</t>
  </si>
  <si>
    <t>Amy Johnson</t>
  </si>
  <si>
    <t>Bailey-Hunt</t>
  </si>
  <si>
    <t>Tamara LEonArd</t>
  </si>
  <si>
    <t>Timothy Wagner</t>
  </si>
  <si>
    <t>King and Bryant Olsen,</t>
  </si>
  <si>
    <t>keVIN wong</t>
  </si>
  <si>
    <t>Kara Stevens</t>
  </si>
  <si>
    <t>Watson Johnson Joseph, and</t>
  </si>
  <si>
    <t>LIsa LopeZ</t>
  </si>
  <si>
    <t>David Keller</t>
  </si>
  <si>
    <t>Group Evans</t>
  </si>
  <si>
    <t>jUSTiN VArgAs</t>
  </si>
  <si>
    <t>Emily Sanders</t>
  </si>
  <si>
    <t>Collins Porter and Rodgers,</t>
  </si>
  <si>
    <t>JoDy loPEZ</t>
  </si>
  <si>
    <t>Chris Green</t>
  </si>
  <si>
    <t>and Goodwin, Hernandez Andrade</t>
  </si>
  <si>
    <t>JONaTHaN wOODs</t>
  </si>
  <si>
    <t>Kurt Hamilton</t>
  </si>
  <si>
    <t>Solomon PLC</t>
  </si>
  <si>
    <t>eMMa RAY</t>
  </si>
  <si>
    <t>Richard Jones</t>
  </si>
  <si>
    <t>Flores Sons and</t>
  </si>
  <si>
    <t>andrEa jOHNSon</t>
  </si>
  <si>
    <t>Brian Herrera</t>
  </si>
  <si>
    <t>Lowe LLC</t>
  </si>
  <si>
    <t>waYnE SHArp</t>
  </si>
  <si>
    <t>Robert Perkins</t>
  </si>
  <si>
    <t>Lopez Keller, Williams and</t>
  </si>
  <si>
    <t>sHelby BLack</t>
  </si>
  <si>
    <t>Peter Nunez</t>
  </si>
  <si>
    <t>Brown-Wood</t>
  </si>
  <si>
    <t>maRthA MARTiN</t>
  </si>
  <si>
    <t>Diane Richardson</t>
  </si>
  <si>
    <t>Martinez-Davis</t>
  </si>
  <si>
    <t>amanDA wilSoN</t>
  </si>
  <si>
    <t>Julia Monroe</t>
  </si>
  <si>
    <t>Alexander-Oconnor</t>
  </si>
  <si>
    <t>JErEMy NGuyeN</t>
  </si>
  <si>
    <t>Michael Palmer</t>
  </si>
  <si>
    <t>Carlson-Stone</t>
  </si>
  <si>
    <t>eILEEN HaRRIs</t>
  </si>
  <si>
    <t>Hector King</t>
  </si>
  <si>
    <t>George Ward, and Clark</t>
  </si>
  <si>
    <t>johN becKEr</t>
  </si>
  <si>
    <t>Michael Webster</t>
  </si>
  <si>
    <t>Nicholson-Johnson</t>
  </si>
  <si>
    <t>FelICIa wILey</t>
  </si>
  <si>
    <t>Christy Maxwell</t>
  </si>
  <si>
    <t>PLC Carr</t>
  </si>
  <si>
    <t>JESsE JOneS</t>
  </si>
  <si>
    <t>Jorge Armstrong</t>
  </si>
  <si>
    <t>Alexander-Middleton</t>
  </si>
  <si>
    <t>steVEN gleNn</t>
  </si>
  <si>
    <t>Alexander Patterson</t>
  </si>
  <si>
    <t>Horton-Martinez</t>
  </si>
  <si>
    <t>CAROLine sWanSoN</t>
  </si>
  <si>
    <t>Richard Rodgers</t>
  </si>
  <si>
    <t>TERRy NiCHolson</t>
  </si>
  <si>
    <t>Jasmine King</t>
  </si>
  <si>
    <t>PLC Obrien</t>
  </si>
  <si>
    <t>KelLy tHOmAS</t>
  </si>
  <si>
    <t>Nancy Sutton</t>
  </si>
  <si>
    <t>Ramos-Holt</t>
  </si>
  <si>
    <t>stevEn McgeE</t>
  </si>
  <si>
    <t>Brittany Anderson</t>
  </si>
  <si>
    <t>Patterson and Peterson, Velazquez</t>
  </si>
  <si>
    <t>sHeLleY waRE</t>
  </si>
  <si>
    <t>Heather Long</t>
  </si>
  <si>
    <t>Jensen and Jackson, Greene</t>
  </si>
  <si>
    <t>MELiSSA bRADY</t>
  </si>
  <si>
    <t>Amy Hawkins</t>
  </si>
  <si>
    <t>Mathews-Lawrence</t>
  </si>
  <si>
    <t>MArIA hAll</t>
  </si>
  <si>
    <t>Victor Fowler</t>
  </si>
  <si>
    <t>Morales, Johnson and Carlson</t>
  </si>
  <si>
    <t>AnDRE sMITh</t>
  </si>
  <si>
    <t>Sharon Hall</t>
  </si>
  <si>
    <t>Wilson, Ward Taylor and</t>
  </si>
  <si>
    <t>KareN GOnZaleZ</t>
  </si>
  <si>
    <t>Jeffrey Arellano</t>
  </si>
  <si>
    <t>Torres-Johnson</t>
  </si>
  <si>
    <t>ViNCENt SelLErS</t>
  </si>
  <si>
    <t>Mary Johnson</t>
  </si>
  <si>
    <t>Inc Mcbride</t>
  </si>
  <si>
    <t>brANDon buRKe</t>
  </si>
  <si>
    <t>Kimberly Key</t>
  </si>
  <si>
    <t>and Dunlap, Wright Mays</t>
  </si>
  <si>
    <t>MR. MArK hANCocK</t>
  </si>
  <si>
    <t>Tara Lopez</t>
  </si>
  <si>
    <t>Sullivan-Crosby</t>
  </si>
  <si>
    <t>kenNETH PEReZ</t>
  </si>
  <si>
    <t>Angela Lara</t>
  </si>
  <si>
    <t>and Shaw, Davis Pollard</t>
  </si>
  <si>
    <t>MArtiN haNsEn</t>
  </si>
  <si>
    <t>Laurie Brewer</t>
  </si>
  <si>
    <t>Williams LLC</t>
  </si>
  <si>
    <t>susAn bROWN</t>
  </si>
  <si>
    <t>Margaret Hensley DVM</t>
  </si>
  <si>
    <t>Franklin Ltd</t>
  </si>
  <si>
    <t>niCOle ALVAraDO</t>
  </si>
  <si>
    <t>Adam Bowers</t>
  </si>
  <si>
    <t>Galloway-Barnett</t>
  </si>
  <si>
    <t>JeSsicA RodRiGUeZ</t>
  </si>
  <si>
    <t>Renee Odom</t>
  </si>
  <si>
    <t>Miller Olson, and Collins</t>
  </si>
  <si>
    <t>tiNA PriCE</t>
  </si>
  <si>
    <t>Amanda Morris</t>
  </si>
  <si>
    <t>Wheeler and Miller Burch,</t>
  </si>
  <si>
    <t>mR. jaCk wIlliS</t>
  </si>
  <si>
    <t>Gregory Oneill</t>
  </si>
  <si>
    <t>Mercer-Booker</t>
  </si>
  <si>
    <t>GreGoRY aDAMS</t>
  </si>
  <si>
    <t>Erika Smith</t>
  </si>
  <si>
    <t>and Burke Skinner Myers,</t>
  </si>
  <si>
    <t>DAVId RObErtS</t>
  </si>
  <si>
    <t>Michelle Harmon</t>
  </si>
  <si>
    <t>and Parker, Stout Chase</t>
  </si>
  <si>
    <t>COry PERry</t>
  </si>
  <si>
    <t>Shane Russell</t>
  </si>
  <si>
    <t>Fernandez Harris, and Wilson</t>
  </si>
  <si>
    <t>JeSsica BarrY</t>
  </si>
  <si>
    <t>Rhonda Miller</t>
  </si>
  <si>
    <t>Young-Myers</t>
  </si>
  <si>
    <t>cyNthIA thOmAs</t>
  </si>
  <si>
    <t>Aaron Turner</t>
  </si>
  <si>
    <t>Johnson PLC</t>
  </si>
  <si>
    <t>sHannOn JOHnSOn</t>
  </si>
  <si>
    <t>Angela Anderson</t>
  </si>
  <si>
    <t>Barber Waters Castillo, and</t>
  </si>
  <si>
    <t>jUSTIn whITE</t>
  </si>
  <si>
    <t>Caitlin Jackson</t>
  </si>
  <si>
    <t>Jarvis-Craig</t>
  </si>
  <si>
    <t>reGINA sTewarT</t>
  </si>
  <si>
    <t>Jeremy Stout</t>
  </si>
  <si>
    <t>Schneider-Patton</t>
  </si>
  <si>
    <t>chelsEa FInLeY</t>
  </si>
  <si>
    <t>Michele Warren</t>
  </si>
  <si>
    <t>Kane Porter and Robinson,</t>
  </si>
  <si>
    <t>emmA beNNeTt</t>
  </si>
  <si>
    <t>Eric English</t>
  </si>
  <si>
    <t>Archer Inc</t>
  </si>
  <si>
    <t>AlaN lEe</t>
  </si>
  <si>
    <t>Shirley Armstrong</t>
  </si>
  <si>
    <t>Castaneda-Powell</t>
  </si>
  <si>
    <t>KatELYn MiLler</t>
  </si>
  <si>
    <t>King, Williams and Terry</t>
  </si>
  <si>
    <t>aManda morriS</t>
  </si>
  <si>
    <t>Steve Anderson</t>
  </si>
  <si>
    <t>Henry PLC</t>
  </si>
  <si>
    <t>dAvID pRatt</t>
  </si>
  <si>
    <t>Candice Harris</t>
  </si>
  <si>
    <t>and Carpenter, Hernandez Chang</t>
  </si>
  <si>
    <t>MAtTheW cunnINGHAm</t>
  </si>
  <si>
    <t>Rhonda Lucas</t>
  </si>
  <si>
    <t>Santiago-Bush</t>
  </si>
  <si>
    <t>bObBY CarSoN</t>
  </si>
  <si>
    <t>Cody Mcintyre</t>
  </si>
  <si>
    <t>Williams Hale and Summers,</t>
  </si>
  <si>
    <t>meliNda WIlSOn</t>
  </si>
  <si>
    <t>Scott Adams DDS</t>
  </si>
  <si>
    <t>Ltd Carroll</t>
  </si>
  <si>
    <t>NancY HaNSEn</t>
  </si>
  <si>
    <t>Jason Dixon</t>
  </si>
  <si>
    <t>Stevenson, Harding and Woods</t>
  </si>
  <si>
    <t>gReGoRY wALlS</t>
  </si>
  <si>
    <t>Larry Williams</t>
  </si>
  <si>
    <t>Munoz Ltd</t>
  </si>
  <si>
    <t>aMBer NiXoN</t>
  </si>
  <si>
    <t>Candice Gray</t>
  </si>
  <si>
    <t>KriStIn fRancO</t>
  </si>
  <si>
    <t>Michael Richardson</t>
  </si>
  <si>
    <t>Kidd Romero, and Douglas</t>
  </si>
  <si>
    <t>JEremIAH vAZQuEz</t>
  </si>
  <si>
    <t>Megan Allen</t>
  </si>
  <si>
    <t>and Cordova Sons</t>
  </si>
  <si>
    <t>AnthONy SmITH</t>
  </si>
  <si>
    <t>Jonathan Crawford</t>
  </si>
  <si>
    <t>Garcia-Clark</t>
  </si>
  <si>
    <t>vIcToRiA brADy</t>
  </si>
  <si>
    <t>Benjamin Cruz</t>
  </si>
  <si>
    <t>Robinson Group</t>
  </si>
  <si>
    <t>erIN cLaRk</t>
  </si>
  <si>
    <t>Tracy Marks</t>
  </si>
  <si>
    <t>Hayes Ryan, and Martinez</t>
  </si>
  <si>
    <t>hEAtHer BOyLe</t>
  </si>
  <si>
    <t>Nathan Benjamin</t>
  </si>
  <si>
    <t>Glover and Oneill Miller,</t>
  </si>
  <si>
    <t>eLiZAbeTH ShEPPARd</t>
  </si>
  <si>
    <t>Sara Cole</t>
  </si>
  <si>
    <t>Diaz Inc</t>
  </si>
  <si>
    <t>roBErT boOne</t>
  </si>
  <si>
    <t>Sara Warner</t>
  </si>
  <si>
    <t>Martin-Nguyen</t>
  </si>
  <si>
    <t>geoFFrEy DANiELs</t>
  </si>
  <si>
    <t>Stanley Moreno</t>
  </si>
  <si>
    <t>Roberts Inc</t>
  </si>
  <si>
    <t>joHN khAn</t>
  </si>
  <si>
    <t>Nina Smith</t>
  </si>
  <si>
    <t>Riley, Grimes Ruiz and</t>
  </si>
  <si>
    <t>ChrISTopheR aRmSTRoNg</t>
  </si>
  <si>
    <t>Justin Nguyen</t>
  </si>
  <si>
    <t>Ltd Rogers</t>
  </si>
  <si>
    <t>JeNNiFER lopez</t>
  </si>
  <si>
    <t>Michele Ramos</t>
  </si>
  <si>
    <t>Gomez Inc</t>
  </si>
  <si>
    <t>mELISSa ROBerTson</t>
  </si>
  <si>
    <t>James Harris</t>
  </si>
  <si>
    <t>PLC Mack</t>
  </si>
  <si>
    <t>KAren PriCE</t>
  </si>
  <si>
    <t>Carla Burgess</t>
  </si>
  <si>
    <t>Castro-Gomez</t>
  </si>
  <si>
    <t>LiSa fRanKLin</t>
  </si>
  <si>
    <t>Luke York</t>
  </si>
  <si>
    <t>Chan, Goodman and Gould</t>
  </si>
  <si>
    <t>KRisTIN BURtoN</t>
  </si>
  <si>
    <t>Whitney Phillips</t>
  </si>
  <si>
    <t>Russell and Randolph, Lawrence</t>
  </si>
  <si>
    <t>caiTLin aDAms</t>
  </si>
  <si>
    <t>Daniel Johnson</t>
  </si>
  <si>
    <t>Evans-Gonzalez</t>
  </si>
  <si>
    <t>EvaN HeRnANDez</t>
  </si>
  <si>
    <t>Audrey Lewis</t>
  </si>
  <si>
    <t>Miller Sons and</t>
  </si>
  <si>
    <t>jEnNiFer KNiGht</t>
  </si>
  <si>
    <t>Donald Wagner</t>
  </si>
  <si>
    <t>Watts-Schneider</t>
  </si>
  <si>
    <t>BOnnIE WiLSon</t>
  </si>
  <si>
    <t>Lisa Fisher</t>
  </si>
  <si>
    <t>Harrell Inc</t>
  </si>
  <si>
    <t>kEnnETh raMIREZ</t>
  </si>
  <si>
    <t>Amber Williams</t>
  </si>
  <si>
    <t>Reed Valdez and Pratt,</t>
  </si>
  <si>
    <t>ELleN mCCuLloUgh</t>
  </si>
  <si>
    <t>Patrick Medina</t>
  </si>
  <si>
    <t>Ali Group</t>
  </si>
  <si>
    <t>THomAS SToNe</t>
  </si>
  <si>
    <t>Sheri Castro</t>
  </si>
  <si>
    <t>Conner-Nelson</t>
  </si>
  <si>
    <t>katHLEEn ArMstrong</t>
  </si>
  <si>
    <t>Crystal Thornton</t>
  </si>
  <si>
    <t>and Miller Prince Rodriguez,</t>
  </si>
  <si>
    <t>tErrY BEnnetT</t>
  </si>
  <si>
    <t>Kimberly Carter</t>
  </si>
  <si>
    <t>Parker Davis Clark, and</t>
  </si>
  <si>
    <t>kRISTIN NGuYeN</t>
  </si>
  <si>
    <t>Frederick Arnold</t>
  </si>
  <si>
    <t>Mills-Petersen</t>
  </si>
  <si>
    <t>aNgEla rANdOLph</t>
  </si>
  <si>
    <t>Anna Atkinson</t>
  </si>
  <si>
    <t>Smith Anderson and Hunt,</t>
  </si>
  <si>
    <t>chrIsTOpHEr tAtE</t>
  </si>
  <si>
    <t>Mary Coleman</t>
  </si>
  <si>
    <t>Kennedy-Smith</t>
  </si>
  <si>
    <t>chrisTopHeR wALToN</t>
  </si>
  <si>
    <t>Jeremy Parker</t>
  </si>
  <si>
    <t>and Moore, Ballard Johnson</t>
  </si>
  <si>
    <t>mEAGAN MIranDA</t>
  </si>
  <si>
    <t>Dorothy Garcia</t>
  </si>
  <si>
    <t>Williams Reynolds and Rangel,</t>
  </si>
  <si>
    <t>dAvId BrOwn</t>
  </si>
  <si>
    <t>John Sanders</t>
  </si>
  <si>
    <t>Shelton Johnson, and Green</t>
  </si>
  <si>
    <t>EriC MilleR</t>
  </si>
  <si>
    <t>Ashlee Cooper</t>
  </si>
  <si>
    <t>Lopez, and Howard Morrison</t>
  </si>
  <si>
    <t>JoeL BaRTlEtT</t>
  </si>
  <si>
    <t>Nicole Vance</t>
  </si>
  <si>
    <t>Sons and Cortez</t>
  </si>
  <si>
    <t>stAcY GIlLEspiE</t>
  </si>
  <si>
    <t>Karen Lynn</t>
  </si>
  <si>
    <t>Roberts Ltd</t>
  </si>
  <si>
    <t>cINdy SHaW</t>
  </si>
  <si>
    <t>Rachel Lopez</t>
  </si>
  <si>
    <t>Sellers-Shepard</t>
  </si>
  <si>
    <t>Andrew eriCKsON</t>
  </si>
  <si>
    <t>Samuel Williams</t>
  </si>
  <si>
    <t>Lloyd Scott, and Reese</t>
  </si>
  <si>
    <t>aShleY roDrIguez</t>
  </si>
  <si>
    <t>Steven Rogers</t>
  </si>
  <si>
    <t>Gibson-Osborne</t>
  </si>
  <si>
    <t>dARrYl CruZ</t>
  </si>
  <si>
    <t>Melanie Lloyd</t>
  </si>
  <si>
    <t>Matthews-Morgan</t>
  </si>
  <si>
    <t>shEiLA cHurcH</t>
  </si>
  <si>
    <t>Bobby Mayo</t>
  </si>
  <si>
    <t>Scott and Sons</t>
  </si>
  <si>
    <t>NANcY munOZ</t>
  </si>
  <si>
    <t>Fernando Hodge</t>
  </si>
  <si>
    <t>Diaz-Richards</t>
  </si>
  <si>
    <t>REBeccA MarTinEZ</t>
  </si>
  <si>
    <t>Valerie Simmons</t>
  </si>
  <si>
    <t>LLC Johnson</t>
  </si>
  <si>
    <t>johN SIMmOns</t>
  </si>
  <si>
    <t>Cheryl Herrera</t>
  </si>
  <si>
    <t>Murphy Group</t>
  </si>
  <si>
    <t>LANce TORREs</t>
  </si>
  <si>
    <t>John Rodriguez MD</t>
  </si>
  <si>
    <t>Barajas and Byrd, Wolf</t>
  </si>
  <si>
    <t>tImotHy TErrY</t>
  </si>
  <si>
    <t>Ashley Jackson</t>
  </si>
  <si>
    <t>Salazar Newman White, and</t>
  </si>
  <si>
    <t>joHn MOorE</t>
  </si>
  <si>
    <t>Samuel Hebert</t>
  </si>
  <si>
    <t>Hancock-Lewis</t>
  </si>
  <si>
    <t>bRAdLeY RAMos</t>
  </si>
  <si>
    <t>Ryan Garcia</t>
  </si>
  <si>
    <t>Barrett-Wright</t>
  </si>
  <si>
    <t>JIlL TayLOR</t>
  </si>
  <si>
    <t>Kelli Gutierrez</t>
  </si>
  <si>
    <t>Bowers Blankenship Jackson, and</t>
  </si>
  <si>
    <t>kelLy brown</t>
  </si>
  <si>
    <t>Kenneth Watson</t>
  </si>
  <si>
    <t>Hahn-Wilson</t>
  </si>
  <si>
    <t>jonATHan chAVEZ</t>
  </si>
  <si>
    <t>Jo Donaldson</t>
  </si>
  <si>
    <t>Ramirez and Nelson, Collins</t>
  </si>
  <si>
    <t>deniSe Wall</t>
  </si>
  <si>
    <t>Ronald Patrick</t>
  </si>
  <si>
    <t>Sosa-Jackson</t>
  </si>
  <si>
    <t>ToDd martinez</t>
  </si>
  <si>
    <t>Lonnie Patton</t>
  </si>
  <si>
    <t>Dillon-Richard</t>
  </si>
  <si>
    <t>jEnnIFer foRD</t>
  </si>
  <si>
    <t>Gabrielle Hendrix</t>
  </si>
  <si>
    <t>Stokes and Sons</t>
  </si>
  <si>
    <t>RAYMOnD Park JR.</t>
  </si>
  <si>
    <t>Brandy Parsons</t>
  </si>
  <si>
    <t>Inc Nguyen</t>
  </si>
  <si>
    <t>jUlia reYNOLDs</t>
  </si>
  <si>
    <t>Anthony Norris</t>
  </si>
  <si>
    <t>Gallagher-Hernandez</t>
  </si>
  <si>
    <t>JOhN McleAn</t>
  </si>
  <si>
    <t>Kristina Mendez MD</t>
  </si>
  <si>
    <t>Johnson David Carpenter, and</t>
  </si>
  <si>
    <t>KATie hOwARd</t>
  </si>
  <si>
    <t>Justin Clark</t>
  </si>
  <si>
    <t>and Montes Marshall Valdez,</t>
  </si>
  <si>
    <t>AmandA LAWSon</t>
  </si>
  <si>
    <t>Charles Schmidt</t>
  </si>
  <si>
    <t>PLC Kelly</t>
  </si>
  <si>
    <t>PAUL muRRaY</t>
  </si>
  <si>
    <t>Johnny Alvarado</t>
  </si>
  <si>
    <t>Wilson-Sherman</t>
  </si>
  <si>
    <t>JAmEs MorRis</t>
  </si>
  <si>
    <t>Patricia Kidd</t>
  </si>
  <si>
    <t>Peterson Group</t>
  </si>
  <si>
    <t>MaTTHew cOlliNs</t>
  </si>
  <si>
    <t>Christopher Fleming</t>
  </si>
  <si>
    <t>Hall-Taylor</t>
  </si>
  <si>
    <t>sharOn cArPenTeR</t>
  </si>
  <si>
    <t>Robert Higgins</t>
  </si>
  <si>
    <t>Rios PLC</t>
  </si>
  <si>
    <t>maRcUS bRoWn</t>
  </si>
  <si>
    <t>Adrian Powell</t>
  </si>
  <si>
    <t>Lutz, Lester and Kelly</t>
  </si>
  <si>
    <t>mItcHElL DeCkeR</t>
  </si>
  <si>
    <t>Alexander Rivera</t>
  </si>
  <si>
    <t>Scott, Moore and Brewer</t>
  </si>
  <si>
    <t>dONald mURPhY</t>
  </si>
  <si>
    <t>Pam Johnson</t>
  </si>
  <si>
    <t>Sullivan Henderson Lloyd, and</t>
  </si>
  <si>
    <t>JOSePh faRlEy</t>
  </si>
  <si>
    <t>Tracy Howard</t>
  </si>
  <si>
    <t>and Rhodes Trujillo, Booth</t>
  </si>
  <si>
    <t>BReNdaN paRKer</t>
  </si>
  <si>
    <t>Matthew Taylor</t>
  </si>
  <si>
    <t>Bailey-White</t>
  </si>
  <si>
    <t>SaMuEL dAVis</t>
  </si>
  <si>
    <t>Sharon Harding</t>
  </si>
  <si>
    <t>Bridges Inc</t>
  </si>
  <si>
    <t>KeLsey POrTeR</t>
  </si>
  <si>
    <t>Kristine Browning</t>
  </si>
  <si>
    <t>Jackson Carr, Garcia and</t>
  </si>
  <si>
    <t>mArk bRYaNt</t>
  </si>
  <si>
    <t>Timothy Kim</t>
  </si>
  <si>
    <t>Richardson-Griffin</t>
  </si>
  <si>
    <t>mARGAret ZamoRa</t>
  </si>
  <si>
    <t>Joshua Ross</t>
  </si>
  <si>
    <t>Allen-Campbell</t>
  </si>
  <si>
    <t>dAVid pAyne</t>
  </si>
  <si>
    <t>Linda Adams</t>
  </si>
  <si>
    <t>Ferguson-Liu</t>
  </si>
  <si>
    <t>tony salAs pHD</t>
  </si>
  <si>
    <t>Richard Andrews</t>
  </si>
  <si>
    <t>Lee Ltd</t>
  </si>
  <si>
    <t>AdRiaN bowMan</t>
  </si>
  <si>
    <t>Julie Warren</t>
  </si>
  <si>
    <t>Baldwin-Marshall</t>
  </si>
  <si>
    <t>MRS. laUrEn morgaN</t>
  </si>
  <si>
    <t>Angela Mathis</t>
  </si>
  <si>
    <t>Norman PLC</t>
  </si>
  <si>
    <t>joSHuA muRRay</t>
  </si>
  <si>
    <t>Beth Williams</t>
  </si>
  <si>
    <t>Boyd-Fisher</t>
  </si>
  <si>
    <t>JAsoN webER</t>
  </si>
  <si>
    <t>Alejandra Williams</t>
  </si>
  <si>
    <t>Inc Davis</t>
  </si>
  <si>
    <t>reBeCcA LeWis</t>
  </si>
  <si>
    <t>Jennifer Mitchell</t>
  </si>
  <si>
    <t>Perry Inc</t>
  </si>
  <si>
    <t>JOAn aRcHeR</t>
  </si>
  <si>
    <t>Bradley Hunter</t>
  </si>
  <si>
    <t>and Brown Larson Moyer,</t>
  </si>
  <si>
    <t>brittAnY EDwarDs</t>
  </si>
  <si>
    <t>Todd Houston</t>
  </si>
  <si>
    <t>Soto-Boyle</t>
  </si>
  <si>
    <t>tiMotHy dIAz</t>
  </si>
  <si>
    <t>Jones-Ellis</t>
  </si>
  <si>
    <t>DaniEL BLaNKenShIP</t>
  </si>
  <si>
    <t>Debra Carpenter</t>
  </si>
  <si>
    <t>Jenkins, Mathews and Ho</t>
  </si>
  <si>
    <t>mAry stEphenS</t>
  </si>
  <si>
    <t>Amanda Johnson</t>
  </si>
  <si>
    <t>Villa Inc</t>
  </si>
  <si>
    <t>BrIAN FigUERoA</t>
  </si>
  <si>
    <t>Joseph Flores</t>
  </si>
  <si>
    <t>Castro PLC</t>
  </si>
  <si>
    <t>sTEphANIe anderSOn</t>
  </si>
  <si>
    <t>Kyle Gray</t>
  </si>
  <si>
    <t>Ortiz-Martin</t>
  </si>
  <si>
    <t>Row Labels</t>
  </si>
  <si>
    <t>Grand Total</t>
  </si>
  <si>
    <t>Total Patients</t>
  </si>
  <si>
    <t>Column Labels</t>
  </si>
  <si>
    <t>Patients by Blood Type</t>
  </si>
  <si>
    <t>Insurance Provider vs Medical Condition (Matrix)</t>
  </si>
  <si>
    <t>Admissions by Medical Condition</t>
  </si>
  <si>
    <t>Yearly Admissions Trend</t>
  </si>
  <si>
    <t>Test Results Breakdown</t>
  </si>
  <si>
    <t>Patients by Age Group</t>
  </si>
  <si>
    <t>KPI Summary</t>
  </si>
  <si>
    <t>Total Revenue</t>
  </si>
  <si>
    <t>Avg Billing</t>
  </si>
  <si>
    <t>Avg Length_of_Stay</t>
  </si>
  <si>
    <t>HEALTHCARE PATIENT ANALYTICS DASHBOARD</t>
  </si>
  <si>
    <t>Avg Length of Stay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</si>
</sst>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8" x14ac:knownFonts="1">
    <font>
      <sz val="11"/>
      <color theme="1"/>
      <name val="Calibri"/>
      <family val="2"/>
      <scheme val="minor"/>
    </font>
    <font>
      <sz val="11"/>
      <color theme="1"/>
      <name val="Calibri"/>
      <family val="2"/>
      <scheme val="minor"/>
    </font>
    <font>
      <b/>
      <sz val="14"/>
      <color theme="1"/>
      <name val="Calibri"/>
      <family val="2"/>
      <scheme val="minor"/>
    </font>
    <font>
      <b/>
      <sz val="22"/>
      <color theme="0"/>
      <name val="Calibri"/>
      <family val="2"/>
      <scheme val="minor"/>
    </font>
    <font>
      <b/>
      <sz val="18"/>
      <color theme="0"/>
      <name val="Calibri"/>
      <family val="2"/>
      <scheme val="minor"/>
    </font>
    <font>
      <b/>
      <sz val="20"/>
      <color theme="0"/>
      <name val="Calibri"/>
      <family val="2"/>
      <scheme val="minor"/>
    </font>
    <font>
      <b/>
      <sz val="12"/>
      <color theme="5"/>
      <name val="Calibri"/>
      <family val="2"/>
      <scheme val="minor"/>
    </font>
    <font>
      <b/>
      <u/>
      <sz val="22"/>
      <color theme="0"/>
      <name val="Calibri"/>
      <family val="2"/>
      <scheme val="minor"/>
    </font>
  </fonts>
  <fills count="5">
    <fill>
      <patternFill patternType="none"/>
    </fill>
    <fill>
      <patternFill patternType="gray125"/>
    </fill>
    <fill>
      <patternFill patternType="solid">
        <fgColor rgb="FFF4F4F4"/>
        <bgColor indexed="64"/>
      </patternFill>
    </fill>
    <fill>
      <patternFill patternType="solid">
        <fgColor rgb="FF002060"/>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center"/>
    </xf>
    <xf numFmtId="0" fontId="2" fillId="0" borderId="0" xfId="0" applyFont="1"/>
    <xf numFmtId="164" fontId="4" fillId="3" borderId="0" xfId="1" applyNumberFormat="1" applyFont="1" applyFill="1" applyAlignment="1">
      <alignment horizontal="center"/>
    </xf>
    <xf numFmtId="164" fontId="4" fillId="3" borderId="0" xfId="0" applyNumberFormat="1" applyFont="1" applyFill="1" applyAlignment="1">
      <alignment horizontal="center"/>
    </xf>
    <xf numFmtId="0" fontId="6" fillId="3" borderId="0" xfId="0" applyFont="1" applyFill="1" applyAlignment="1">
      <alignment horizontal="center"/>
    </xf>
    <xf numFmtId="0" fontId="3" fillId="3" borderId="0" xfId="0" applyFont="1" applyFill="1" applyAlignment="1">
      <alignment horizontal="center"/>
    </xf>
    <xf numFmtId="2" fontId="5" fillId="3" borderId="0" xfId="0" applyNumberFormat="1" applyFont="1" applyFill="1" applyAlignment="1">
      <alignment horizontal="center"/>
    </xf>
    <xf numFmtId="0" fontId="0" fillId="3" borderId="0" xfId="0" applyFill="1"/>
    <xf numFmtId="0" fontId="0" fillId="4" borderId="0" xfId="0" applyFill="1"/>
    <xf numFmtId="0" fontId="0" fillId="3" borderId="0" xfId="0" applyFill="1" applyAlignment="1">
      <alignment horizontal="center"/>
    </xf>
    <xf numFmtId="0" fontId="0" fillId="3" borderId="0" xfId="0" applyFill="1" applyAlignment="1"/>
    <xf numFmtId="0" fontId="0" fillId="4" borderId="0" xfId="0" applyFill="1" applyAlignment="1"/>
    <xf numFmtId="0" fontId="0" fillId="0" borderId="0" xfId="0" applyNumberFormat="1"/>
    <xf numFmtId="0" fontId="3" fillId="3" borderId="0" xfId="0" applyFont="1" applyFill="1" applyAlignment="1">
      <alignment horizontal="right"/>
    </xf>
    <xf numFmtId="0" fontId="7" fillId="3" borderId="0" xfId="0" applyFont="1" applyFill="1" applyAlignment="1">
      <alignment horizontal="right"/>
    </xf>
  </cellXfs>
  <cellStyles count="2">
    <cellStyle name="Currency" xfId="1" builtinId="4"/>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4F4F4"/>
      <color rgb="FF0F6E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[Healthcare_Dashboard.xlsx]PIVOT_DATA!PivotTable1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rgbClr val="002060"/>
                </a:solidFill>
              </a:rPr>
              <a:t>Yearly</a:t>
            </a:r>
            <a:r>
              <a:rPr lang="en-US" sz="1400" baseline="0">
                <a:solidFill>
                  <a:srgbClr val="002060"/>
                </a:solidFill>
              </a:rPr>
              <a:t> Admissions</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PIVOT_DATA!$A$2:$A$8</c:f>
              <c:strCache>
                <c:ptCount val="6"/>
                <c:pt idx="0">
                  <c:v>2019</c:v>
                </c:pt>
                <c:pt idx="1">
                  <c:v>2020</c:v>
                </c:pt>
                <c:pt idx="2">
                  <c:v>2021</c:v>
                </c:pt>
                <c:pt idx="3">
                  <c:v>2022</c:v>
                </c:pt>
                <c:pt idx="4">
                  <c:v>2023</c:v>
                </c:pt>
                <c:pt idx="5">
                  <c:v>2024</c:v>
                </c:pt>
              </c:strCache>
            </c:strRef>
          </c:cat>
          <c:val>
            <c:numRef>
              <c:f>PIVOT_DATA!$B$2:$B$8</c:f>
              <c:numCache>
                <c:formatCode>General</c:formatCode>
                <c:ptCount val="6"/>
                <c:pt idx="0">
                  <c:v>142</c:v>
                </c:pt>
                <c:pt idx="1">
                  <c:v>224</c:v>
                </c:pt>
                <c:pt idx="2">
                  <c:v>188</c:v>
                </c:pt>
                <c:pt idx="3">
                  <c:v>188</c:v>
                </c:pt>
                <c:pt idx="4">
                  <c:v>178</c:v>
                </c:pt>
                <c:pt idx="5">
                  <c:v>80</c:v>
                </c:pt>
              </c:numCache>
            </c:numRef>
          </c:val>
          <c:extLst>
            <c:ext xmlns:c16="http://schemas.microsoft.com/office/drawing/2014/chart" uri="{C3380CC4-5D6E-409C-BE32-E72D297353CC}">
              <c16:uniqueId val="{00000000-04B0-4433-AB48-40ABE3180ACE}"/>
            </c:ext>
          </c:extLst>
        </c:ser>
        <c:dLbls>
          <c:dLblPos val="outEnd"/>
          <c:showLegendKey val="0"/>
          <c:showVal val="1"/>
          <c:showCatName val="0"/>
          <c:showSerName val="0"/>
          <c:showPercent val="0"/>
          <c:showBubbleSize val="0"/>
        </c:dLbls>
        <c:gapWidth val="100"/>
        <c:overlap val="-24"/>
        <c:axId val="752167920"/>
        <c:axId val="752168400"/>
      </c:barChart>
      <c:catAx>
        <c:axId val="7521679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52168400"/>
        <c:crosses val="autoZero"/>
        <c:auto val="1"/>
        <c:lblAlgn val="ctr"/>
        <c:lblOffset val="100"/>
        <c:noMultiLvlLbl val="0"/>
      </c:catAx>
      <c:valAx>
        <c:axId val="752168400"/>
        <c:scaling>
          <c:orientation val="minMax"/>
        </c:scaling>
        <c:delete val="0"/>
        <c:axPos val="l"/>
        <c:numFmt formatCode="General" sourceLinked="1"/>
        <c:majorTickMark val="out"/>
        <c:minorTickMark val="none"/>
        <c:tickLblPos val="nextTo"/>
        <c:spPr>
          <a:solidFill>
            <a:sysClr val="window" lastClr="FFFFFF"/>
          </a:solid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52167920"/>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[Healthcare_Dashboard.xlsx]PIVOT_DATA!PivotTable2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rgbClr val="002060"/>
                </a:solidFill>
              </a:rPr>
              <a:t>Admissions by Medical</a:t>
            </a:r>
            <a:r>
              <a:rPr lang="en-US" sz="1400" baseline="0">
                <a:solidFill>
                  <a:srgbClr val="002060"/>
                </a:solidFill>
              </a:rPr>
              <a:t> Condition</a:t>
            </a:r>
            <a:endParaRPr lang="en-US" sz="1400">
              <a:solidFill>
                <a:srgbClr val="002060"/>
              </a:solidFill>
            </a:endParaRPr>
          </a:p>
        </c:rich>
      </c:tx>
      <c:layout>
        <c:manualLayout>
          <c:xMode val="edge"/>
          <c:yMode val="edge"/>
          <c:x val="0.13221707580670064"/>
          <c:y val="7.325576840208407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PIVOT_DATA!$B$10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PIVOT_DATA!$A$11:$A$17</c:f>
              <c:strCache>
                <c:ptCount val="6"/>
                <c:pt idx="0">
                  <c:v>Arthritis</c:v>
                </c:pt>
                <c:pt idx="1">
                  <c:v>Asthma</c:v>
                </c:pt>
                <c:pt idx="2">
                  <c:v>Cancer</c:v>
                </c:pt>
                <c:pt idx="3">
                  <c:v>Diabetes</c:v>
                </c:pt>
                <c:pt idx="4">
                  <c:v>Hypertension</c:v>
                </c:pt>
                <c:pt idx="5">
                  <c:v>Obesity</c:v>
                </c:pt>
              </c:strCache>
            </c:strRef>
          </c:cat>
          <c:val>
            <c:numRef>
              <c:f>PIVOT_DATA!$B$11:$B$17</c:f>
              <c:numCache>
                <c:formatCode>General</c:formatCode>
                <c:ptCount val="6"/>
                <c:pt idx="0">
                  <c:v>178</c:v>
                </c:pt>
                <c:pt idx="1">
                  <c:v>167</c:v>
                </c:pt>
                <c:pt idx="2">
                  <c:v>167</c:v>
                </c:pt>
                <c:pt idx="3">
                  <c:v>169</c:v>
                </c:pt>
                <c:pt idx="4">
                  <c:v>164</c:v>
                </c:pt>
                <c:pt idx="5">
                  <c:v>155</c:v>
                </c:pt>
              </c:numCache>
            </c:numRef>
          </c:val>
          <c:extLst>
            <c:ext xmlns:c16="http://schemas.microsoft.com/office/drawing/2014/chart" uri="{C3380CC4-5D6E-409C-BE32-E72D297353CC}">
              <c16:uniqueId val="{00000000-53CB-4347-8BD6-7ABB59A75F0E}"/>
            </c:ext>
          </c:extLst>
        </c:ser>
        <c:dLbls>
          <c:dLblPos val="outEnd"/>
          <c:showLegendKey val="0"/>
          <c:showVal val="1"/>
          <c:showCatName val="0"/>
          <c:showSerName val="0"/>
          <c:showPercent val="0"/>
          <c:showBubbleSize val="0"/>
        </c:dLbls>
        <c:gapWidth val="100"/>
        <c:axId val="2111348800"/>
        <c:axId val="2111351200"/>
      </c:barChart>
      <c:catAx>
        <c:axId val="2111348800"/>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11351200"/>
        <c:crosses val="autoZero"/>
        <c:auto val="1"/>
        <c:lblAlgn val="ctr"/>
        <c:lblOffset val="100"/>
        <c:noMultiLvlLbl val="0"/>
      </c:catAx>
      <c:valAx>
        <c:axId val="2111351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1134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[Healthcare_Dashboard.xlsx]PIVOT_DATA!PivotTable4</c:name>
    <c:fmtId val="5"/>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sz="1400">
                <a:solidFill>
                  <a:srgbClr val="002060"/>
                </a:solidFill>
              </a:rPr>
              <a:t>Patients</a:t>
            </a:r>
            <a:r>
              <a:rPr lang="en-US" sz="1400" baseline="0">
                <a:solidFill>
                  <a:srgbClr val="002060"/>
                </a:solidFill>
              </a:rPr>
              <a:t> by Blood Type</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PIVOT_DATA!$G$14</c:f>
              <c:strCache>
                <c:ptCount val="1"/>
                <c:pt idx="0">
                  <c:v>Total</c:v>
                </c:pt>
              </c:strCache>
            </c:strRef>
          </c:tx>
          <c:spPr>
            <a:solidFill>
              <a:srgbClr val="002060"/>
            </a:solidFill>
            <a:ln>
              <a:noFill/>
            </a:ln>
            <a:effectLst/>
          </c:spPr>
          <c:invertIfNegative val="0"/>
          <c:cat>
            <c:strRef>
              <c:f>PIVOT_DATA!$F$15:$F$23</c:f>
              <c:strCache>
                <c:ptCount val="8"/>
                <c:pt idx="0">
                  <c:v>A-</c:v>
                </c:pt>
                <c:pt idx="1">
                  <c:v>A+</c:v>
                </c:pt>
                <c:pt idx="2">
                  <c:v>AB-</c:v>
                </c:pt>
                <c:pt idx="3">
                  <c:v>AB+</c:v>
                </c:pt>
                <c:pt idx="4">
                  <c:v>B-</c:v>
                </c:pt>
                <c:pt idx="5">
                  <c:v>B+</c:v>
                </c:pt>
                <c:pt idx="6">
                  <c:v>O-</c:v>
                </c:pt>
                <c:pt idx="7">
                  <c:v>O+</c:v>
                </c:pt>
              </c:strCache>
            </c:strRef>
          </c:cat>
          <c:val>
            <c:numRef>
              <c:f>PIVOT_DATA!$G$15:$G$23</c:f>
              <c:numCache>
                <c:formatCode>General</c:formatCode>
                <c:ptCount val="8"/>
                <c:pt idx="0">
                  <c:v>116</c:v>
                </c:pt>
                <c:pt idx="1">
                  <c:v>132</c:v>
                </c:pt>
                <c:pt idx="2">
                  <c:v>124</c:v>
                </c:pt>
                <c:pt idx="3">
                  <c:v>127</c:v>
                </c:pt>
                <c:pt idx="4">
                  <c:v>124</c:v>
                </c:pt>
                <c:pt idx="5">
                  <c:v>123</c:v>
                </c:pt>
                <c:pt idx="6">
                  <c:v>115</c:v>
                </c:pt>
                <c:pt idx="7">
                  <c:v>139</c:v>
                </c:pt>
              </c:numCache>
            </c:numRef>
          </c:val>
          <c:extLst>
            <c:ext xmlns:c16="http://schemas.microsoft.com/office/drawing/2014/chart" uri="{C3380CC4-5D6E-409C-BE32-E72D297353CC}">
              <c16:uniqueId val="{00000000-4B89-4D30-B66B-2347EE2A4800}"/>
            </c:ext>
          </c:extLst>
        </c:ser>
        <c:dLbls>
          <c:showLegendKey val="0"/>
          <c:showVal val="0"/>
          <c:showCatName val="0"/>
          <c:showSerName val="0"/>
          <c:showPercent val="0"/>
          <c:showBubbleSize val="0"/>
        </c:dLbls>
        <c:gapWidth val="100"/>
        <c:axId val="157392208"/>
        <c:axId val="157411888"/>
      </c:barChart>
      <c:catAx>
        <c:axId val="15739220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7411888"/>
        <c:crosses val="autoZero"/>
        <c:auto val="1"/>
        <c:lblAlgn val="ctr"/>
        <c:lblOffset val="100"/>
        <c:noMultiLvlLbl val="0"/>
      </c:catAx>
      <c:valAx>
        <c:axId val="15741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739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[Healthcare_Dashboard.xlsx]PIVOT_DATA!PivotTable5</c:name>
    <c:fmtId val="7"/>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Test Results Breakdown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PIVOT_DATA!$K$15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DD-4B82-9F73-4674FB4D1C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DD-4B82-9F73-4674FB4D1C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DD-4B82-9F73-4674FB4D1C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PIVOT_DATA!$J$16:$J$19</c:f>
              <c:strCache>
                <c:ptCount val="3"/>
                <c:pt idx="0">
                  <c:v>Abnormal</c:v>
                </c:pt>
                <c:pt idx="1">
                  <c:v>Inconclusive</c:v>
                </c:pt>
                <c:pt idx="2">
                  <c:v>Normal</c:v>
                </c:pt>
              </c:strCache>
            </c:strRef>
          </c:cat>
          <c:val>
            <c:numRef>
              <c:f>PIVOT_DATA!$K$16:$K$19</c:f>
              <c:numCache>
                <c:formatCode>General</c:formatCode>
                <c:ptCount val="3"/>
                <c:pt idx="0">
                  <c:v>350</c:v>
                </c:pt>
                <c:pt idx="1">
                  <c:v>324</c:v>
                </c:pt>
                <c:pt idx="2">
                  <c:v>326</c:v>
                </c:pt>
              </c:numCache>
            </c:numRef>
          </c:val>
          <c:extLst>
            <c:ext xmlns:c16="http://schemas.microsoft.com/office/drawing/2014/chart" uri="{C3380CC4-5D6E-409C-BE32-E72D297353CC}">
              <c16:uniqueId val="{00000006-85DD-4B82-9F73-4674FB4D1C6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[Healthcare_Dashboard.xlsx]PIVOT_DATA!PivotTable6</c:name>
    <c:fmtId val="6"/>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sz="1400">
                <a:solidFill>
                  <a:srgbClr val="002060"/>
                </a:solidFill>
              </a:rPr>
              <a:t>Patients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PIVOT_DATA!$K$22</c:f>
              <c:strCache>
                <c:ptCount val="1"/>
                <c:pt idx="0">
                  <c:v>Total</c:v>
                </c:pt>
              </c:strCache>
            </c:strRef>
          </c:tx>
          <c:spPr>
            <a:solidFill>
              <a:srgbClr val="002060"/>
            </a:solidFill>
            <a:ln>
              <a:noFill/>
            </a:ln>
            <a:effectLst/>
          </c:spPr>
          <c:invertIfNegative val="0"/>
          <c:cat>
            <c:strRef>
              <c:f>PIVOT_DATA!$J$23:$J$27</c:f>
              <c:strCache>
                <c:ptCount val="4"/>
                <c:pt idx="0">
                  <c:v>Elderly</c:v>
                </c:pt>
                <c:pt idx="1">
                  <c:v>Middle-Aged</c:v>
                </c:pt>
                <c:pt idx="2">
                  <c:v>Senior</c:v>
                </c:pt>
                <c:pt idx="3">
                  <c:v>Young Adult</c:v>
                </c:pt>
              </c:strCache>
            </c:strRef>
          </c:cat>
          <c:val>
            <c:numRef>
              <c:f>PIVOT_DATA!$K$23:$K$27</c:f>
              <c:numCache>
                <c:formatCode>General</c:formatCode>
                <c:ptCount val="4"/>
                <c:pt idx="0">
                  <c:v>209</c:v>
                </c:pt>
                <c:pt idx="1">
                  <c:v>299</c:v>
                </c:pt>
                <c:pt idx="2">
                  <c:v>226</c:v>
                </c:pt>
                <c:pt idx="3">
                  <c:v>266</c:v>
                </c:pt>
              </c:numCache>
            </c:numRef>
          </c:val>
          <c:extLst>
            <c:ext xmlns:c16="http://schemas.microsoft.com/office/drawing/2014/chart" uri="{C3380CC4-5D6E-409C-BE32-E72D297353CC}">
              <c16:uniqueId val="{00000000-9A1B-491D-8C59-6C7336539DA0}"/>
            </c:ext>
          </c:extLst>
        </c:ser>
        <c:dLbls>
          <c:showLegendKey val="0"/>
          <c:showVal val="0"/>
          <c:showCatName val="0"/>
          <c:showSerName val="0"/>
          <c:showPercent val="0"/>
          <c:showBubbleSize val="0"/>
        </c:dLbls>
        <c:gapWidth val="100"/>
        <c:axId val="157365328"/>
        <c:axId val="157389808"/>
      </c:barChart>
      <c:catAx>
        <c:axId val="1573653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7389808"/>
        <c:crosses val="autoZero"/>
        <c:auto val="1"/>
        <c:lblAlgn val="ctr"/>
        <c:lblOffset val="100"/>
        <c:noMultiLvlLbl val="0"/>
      </c:catAx>
      <c:valAx>
        <c:axId val="157389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736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861060</xdr:colOff>
      <xdr:row>21</xdr:row>
      <xdr:rowOff>99061</xdr:rowOff>
    </xdr:from>
    <xdr:to>
      <xdr:col>16</xdr:col>
      <xdr:colOff>967740</xdr:colOff>
      <xdr:row>26</xdr:row>
      <xdr:rowOff>175261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438D0C6-79C1-6E84-2DEF-3CA92621C6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026140" y="4213861"/>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388620</xdr:colOff>
      <xdr:row>16</xdr:row>
      <xdr:rowOff>76201</xdr:rowOff>
    </xdr:from>
    <xdr:to>
      <xdr:col>14</xdr:col>
      <xdr:colOff>754380</xdr:colOff>
      <xdr:row>26</xdr:row>
      <xdr:rowOff>114301</xdr:rowOff>
    </xdr:to>
    <mc:AlternateContent xmlns:mc="http://schemas.openxmlformats.org/markup-compatibility/2006" xmlns:a14="http://schemas.microsoft.com/office/drawing/2010/main">
      <mc:Choice Requires="a14">
        <xdr:graphicFrame macro="">
          <xdr:nvGraphicFramePr>
            <xdr:cNvPr id="3" name="Medical Condition">
              <a:extLst>
                <a:ext uri="{FF2B5EF4-FFF2-40B4-BE49-F238E27FC236}">
                  <a16:creationId xmlns:a16="http://schemas.microsoft.com/office/drawing/2014/main" id="{022A479F-FB73-E9AE-2FBD-10415E673512}"/>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9090660" y="3185161"/>
              <a:ext cx="1828800" cy="195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792480</xdr:colOff>
      <xdr:row>12</xdr:row>
      <xdr:rowOff>114301</xdr:rowOff>
    </xdr:from>
    <xdr:to>
      <xdr:col>16</xdr:col>
      <xdr:colOff>899160</xdr:colOff>
      <xdr:row>21</xdr:row>
      <xdr:rowOff>7621</xdr:rowOff>
    </xdr:to>
    <mc:AlternateContent xmlns:mc="http://schemas.openxmlformats.org/markup-compatibility/2006" xmlns:a14="http://schemas.microsoft.com/office/drawing/2010/main">
      <mc:Choice Requires="a14">
        <xdr:graphicFrame macro="">
          <xdr:nvGraphicFramePr>
            <xdr:cNvPr id="4" name="Insurance Provider">
              <a:extLst>
                <a:ext uri="{FF2B5EF4-FFF2-40B4-BE49-F238E27FC236}">
                  <a16:creationId xmlns:a16="http://schemas.microsoft.com/office/drawing/2014/main" id="{9C4AD9C3-5184-BD64-5F34-508F8FA7F308}"/>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mlns="">
        <xdr:sp macro="" textlink="">
          <xdr:nvSpPr>
            <xdr:cNvPr id="0" name=""/>
            <xdr:cNvSpPr>
              <a:spLocks noTextEdit="1"/>
            </xdr:cNvSpPr>
          </xdr:nvSpPr>
          <xdr:spPr>
            <a:xfrm>
              <a:off x="10957560" y="2400301"/>
              <a:ext cx="18288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769620</xdr:colOff>
      <xdr:row>5</xdr:row>
      <xdr:rowOff>167641</xdr:rowOff>
    </xdr:from>
    <xdr:to>
      <xdr:col>16</xdr:col>
      <xdr:colOff>876300</xdr:colOff>
      <xdr:row>12</xdr:row>
      <xdr:rowOff>68581</xdr:rowOff>
    </xdr:to>
    <mc:AlternateContent xmlns:mc="http://schemas.openxmlformats.org/markup-compatibility/2006" xmlns:a14="http://schemas.microsoft.com/office/drawing/2010/main">
      <mc:Choice Requires="a14">
        <xdr:graphicFrame macro="">
          <xdr:nvGraphicFramePr>
            <xdr:cNvPr id="5" name="Admission Type">
              <a:extLst>
                <a:ext uri="{FF2B5EF4-FFF2-40B4-BE49-F238E27FC236}">
                  <a16:creationId xmlns:a16="http://schemas.microsoft.com/office/drawing/2014/main" id="{3CD73F47-8278-286C-F536-0FFE20401228}"/>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10934700" y="1127761"/>
              <a:ext cx="18288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388620</xdr:colOff>
      <xdr:row>5</xdr:row>
      <xdr:rowOff>160021</xdr:rowOff>
    </xdr:from>
    <xdr:to>
      <xdr:col>14</xdr:col>
      <xdr:colOff>754380</xdr:colOff>
      <xdr:row>15</xdr:row>
      <xdr:rowOff>152401</xdr:rowOff>
    </xdr:to>
    <mc:AlternateContent xmlns:mc="http://schemas.openxmlformats.org/markup-compatibility/2006" xmlns:a14="http://schemas.microsoft.com/office/drawing/2010/main">
      <mc:Choice Requires="a14">
        <xdr:graphicFrame macro="">
          <xdr:nvGraphicFramePr>
            <xdr:cNvPr id="6" name="Admission_Year">
              <a:extLst>
                <a:ext uri="{FF2B5EF4-FFF2-40B4-BE49-F238E27FC236}">
                  <a16:creationId xmlns:a16="http://schemas.microsoft.com/office/drawing/2014/main" id="{EFD51F6A-E1E6-412F-8BF9-C01BC736718A}"/>
                </a:ext>
              </a:extLst>
            </xdr:cNvPr>
            <xdr:cNvGraphicFramePr/>
          </xdr:nvGraphicFramePr>
          <xdr:xfrm>
            <a:off x="0" y="0"/>
            <a:ext cx="0" cy="0"/>
          </xdr:xfrm>
          <a:graphic>
            <a:graphicData uri="http://schemas.microsoft.com/office/drawing/2010/slicer">
              <sle:slicer xmlns:sle="http://schemas.microsoft.com/office/drawing/2010/slicer" name="Admission_Year"/>
            </a:graphicData>
          </a:graphic>
        </xdr:graphicFrame>
      </mc:Choice>
      <mc:Fallback xmlns="">
        <xdr:sp macro="" textlink="">
          <xdr:nvSpPr>
            <xdr:cNvPr id="0" name=""/>
            <xdr:cNvSpPr>
              <a:spLocks noTextEdit="1"/>
            </xdr:cNvSpPr>
          </xdr:nvSpPr>
          <xdr:spPr>
            <a:xfrm>
              <a:off x="9090660" y="1120141"/>
              <a:ext cx="1828800" cy="195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584200</xdr:colOff>
      <xdr:row>7</xdr:row>
      <xdr:rowOff>144780</xdr:rowOff>
    </xdr:from>
    <xdr:to>
      <xdr:col>8</xdr:col>
      <xdr:colOff>251460</xdr:colOff>
      <xdr:row>18</xdr:row>
      <xdr:rowOff>144780</xdr:rowOff>
    </xdr:to>
    <xdr:graphicFrame macro="">
      <xdr:nvGraphicFramePr>
        <xdr:cNvPr id="2" name="Chart 1">
          <a:extLst>
            <a:ext uri="{FF2B5EF4-FFF2-40B4-BE49-F238E27FC236}">
              <a16:creationId xmlns:a16="http://schemas.microsoft.com/office/drawing/2014/main" id="{FF118E7E-AD72-49EE-9282-D56D526F2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59267</xdr:colOff>
      <xdr:row>19</xdr:row>
      <xdr:rowOff>15240</xdr:rowOff>
    </xdr:from>
    <xdr:to>
      <xdr:col>18</xdr:col>
      <xdr:colOff>22860</xdr:colOff>
      <xdr:row>30</xdr:row>
      <xdr:rowOff>53340</xdr:rowOff>
    </xdr:to>
    <xdr:graphicFrame macro="">
      <xdr:nvGraphicFramePr>
        <xdr:cNvPr id="3" name="Chart 2">
          <a:extLst>
            <a:ext uri="{FF2B5EF4-FFF2-40B4-BE49-F238E27FC236}">
              <a16:creationId xmlns:a16="http://schemas.microsoft.com/office/drawing/2014/main" id="{5074DA6B-6B21-4082-A6E4-A137F27B9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586740</xdr:colOff>
      <xdr:row>19</xdr:row>
      <xdr:rowOff>15240</xdr:rowOff>
    </xdr:from>
    <xdr:to>
      <xdr:col>11</xdr:col>
      <xdr:colOff>0</xdr:colOff>
      <xdr:row>30</xdr:row>
      <xdr:rowOff>53340</xdr:rowOff>
    </xdr:to>
    <xdr:graphicFrame macro="">
      <xdr:nvGraphicFramePr>
        <xdr:cNvPr id="7" name="Chart 6">
          <a:extLst>
            <a:ext uri="{FF2B5EF4-FFF2-40B4-BE49-F238E27FC236}">
              <a16:creationId xmlns:a16="http://schemas.microsoft.com/office/drawing/2014/main" id="{DAAE1897-770B-4FF7-BC19-9E0BD4B6D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281940</xdr:colOff>
      <xdr:row>7</xdr:row>
      <xdr:rowOff>144780</xdr:rowOff>
    </xdr:from>
    <xdr:to>
      <xdr:col>18</xdr:col>
      <xdr:colOff>22860</xdr:colOff>
      <xdr:row>18</xdr:row>
      <xdr:rowOff>152400</xdr:rowOff>
    </xdr:to>
    <xdr:graphicFrame macro="">
      <xdr:nvGraphicFramePr>
        <xdr:cNvPr id="8" name="Chart 7">
          <a:extLst>
            <a:ext uri="{FF2B5EF4-FFF2-40B4-BE49-F238E27FC236}">
              <a16:creationId xmlns:a16="http://schemas.microsoft.com/office/drawing/2014/main" id="{D19B0E69-8DA7-47DA-9F74-484BBFCE9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297180</xdr:colOff>
      <xdr:row>7</xdr:row>
      <xdr:rowOff>144780</xdr:rowOff>
    </xdr:from>
    <xdr:to>
      <xdr:col>13</xdr:col>
      <xdr:colOff>236220</xdr:colOff>
      <xdr:row>18</xdr:row>
      <xdr:rowOff>144780</xdr:rowOff>
    </xdr:to>
    <xdr:graphicFrame macro="">
      <xdr:nvGraphicFramePr>
        <xdr:cNvPr id="10" name="Chart 9">
          <a:extLst>
            <a:ext uri="{FF2B5EF4-FFF2-40B4-BE49-F238E27FC236}">
              <a16:creationId xmlns:a16="http://schemas.microsoft.com/office/drawing/2014/main" id="{3980D338-8763-49D8-A92C-4176FC8B9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127000</xdr:colOff>
      <xdr:row>12</xdr:row>
      <xdr:rowOff>16933</xdr:rowOff>
    </xdr:from>
    <xdr:to>
      <xdr:col>3</xdr:col>
      <xdr:colOff>533400</xdr:colOff>
      <xdr:row>17</xdr:row>
      <xdr:rowOff>50799</xdr:rowOff>
    </xdr:to>
    <mc:AlternateContent xmlns:mc="http://schemas.openxmlformats.org/markup-compatibility/2006">
      <mc:Choice xmlns:a14="http://schemas.microsoft.com/office/drawing/2010/main" Requires="a14">
        <xdr:graphicFrame macro="">
          <xdr:nvGraphicFramePr>
            <xdr:cNvPr id="14" name="Admission_Year 1">
              <a:extLst>
                <a:ext uri="{FF2B5EF4-FFF2-40B4-BE49-F238E27FC236}">
                  <a16:creationId xmlns:a16="http://schemas.microsoft.com/office/drawing/2014/main" id="{0DCCC842-E3DB-4958-A229-3831EC49A4E3}"/>
                </a:ext>
              </a:extLst>
            </xdr:cNvPr>
            <xdr:cNvGraphicFramePr/>
          </xdr:nvGraphicFramePr>
          <xdr:xfrm>
            <a:off x="0" y="0"/>
            <a:ext cx="0" cy="0"/>
          </xdr:xfrm>
          <a:graphic>
            <a:graphicData uri="http://schemas.microsoft.com/office/drawing/2010/slicer">
              <sle:slicer xmlns:sle="http://schemas.microsoft.com/office/drawing/2010/slicer" name="Admission_Year 1"/>
            </a:graphicData>
          </a:graphic>
        </xdr:graphicFrame>
      </mc:Choice>
      <mc:Fallback>
        <xdr:sp macro="" textlink="">
          <xdr:nvSpPr>
            <xdr:cNvPr id="0" name=""/>
            <xdr:cNvSpPr>
              <a:spLocks noTextEdit="1"/>
            </xdr:cNvSpPr>
          </xdr:nvSpPr>
          <xdr:spPr>
            <a:xfrm>
              <a:off x="127000" y="2438400"/>
              <a:ext cx="2235200" cy="96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17</xdr:row>
      <xdr:rowOff>93134</xdr:rowOff>
    </xdr:from>
    <xdr:to>
      <xdr:col>3</xdr:col>
      <xdr:colOff>574040</xdr:colOff>
      <xdr:row>23</xdr:row>
      <xdr:rowOff>177800</xdr:rowOff>
    </xdr:to>
    <mc:AlternateContent xmlns:mc="http://schemas.openxmlformats.org/markup-compatibility/2006">
      <mc:Choice xmlns:a14="http://schemas.microsoft.com/office/drawing/2010/main" Requires="a14">
        <xdr:graphicFrame macro="">
          <xdr:nvGraphicFramePr>
            <xdr:cNvPr id="15" name="Medical Condition 1">
              <a:extLst>
                <a:ext uri="{FF2B5EF4-FFF2-40B4-BE49-F238E27FC236}">
                  <a16:creationId xmlns:a16="http://schemas.microsoft.com/office/drawing/2014/main" id="{4732B6A7-93A8-4A4F-A84E-C32B8B562700}"/>
                </a:ext>
              </a:extLst>
            </xdr:cNvPr>
            <xdr:cNvGraphicFramePr/>
          </xdr:nvGraphicFramePr>
          <xdr:xfrm>
            <a:off x="0" y="0"/>
            <a:ext cx="0" cy="0"/>
          </xdr:xfrm>
          <a:graphic>
            <a:graphicData uri="http://schemas.microsoft.com/office/drawing/2010/slicer">
              <sle:slicer xmlns:sle="http://schemas.microsoft.com/office/drawing/2010/slicer" name="Medical Condition 1"/>
            </a:graphicData>
          </a:graphic>
        </xdr:graphicFrame>
      </mc:Choice>
      <mc:Fallback>
        <xdr:sp macro="" textlink="">
          <xdr:nvSpPr>
            <xdr:cNvPr id="0" name=""/>
            <xdr:cNvSpPr>
              <a:spLocks noTextEdit="1"/>
            </xdr:cNvSpPr>
          </xdr:nvSpPr>
          <xdr:spPr>
            <a:xfrm>
              <a:off x="127000" y="3445934"/>
              <a:ext cx="2275840" cy="1202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8</xdr:row>
      <xdr:rowOff>118533</xdr:rowOff>
    </xdr:from>
    <xdr:to>
      <xdr:col>3</xdr:col>
      <xdr:colOff>543561</xdr:colOff>
      <xdr:row>11</xdr:row>
      <xdr:rowOff>169333</xdr:rowOff>
    </xdr:to>
    <mc:AlternateContent xmlns:mc="http://schemas.openxmlformats.org/markup-compatibility/2006">
      <mc:Choice xmlns:a14="http://schemas.microsoft.com/office/drawing/2010/main" Requires="a14">
        <xdr:graphicFrame macro="">
          <xdr:nvGraphicFramePr>
            <xdr:cNvPr id="16" name="Admission Type 1">
              <a:extLst>
                <a:ext uri="{FF2B5EF4-FFF2-40B4-BE49-F238E27FC236}">
                  <a16:creationId xmlns:a16="http://schemas.microsoft.com/office/drawing/2014/main" id="{64EC7560-659E-4833-9645-5E66BA71604F}"/>
                </a:ext>
              </a:extLst>
            </xdr:cNvPr>
            <xdr:cNvGraphicFramePr/>
          </xdr:nvGraphicFramePr>
          <xdr:xfrm>
            <a:off x="0" y="0"/>
            <a:ext cx="0" cy="0"/>
          </xdr:xfrm>
          <a:graphic>
            <a:graphicData uri="http://schemas.microsoft.com/office/drawing/2010/slicer">
              <sle:slicer xmlns:sle="http://schemas.microsoft.com/office/drawing/2010/slicer" name="Admission Type 1"/>
            </a:graphicData>
          </a:graphic>
        </xdr:graphicFrame>
      </mc:Choice>
      <mc:Fallback>
        <xdr:sp macro="" textlink="">
          <xdr:nvSpPr>
            <xdr:cNvPr id="0" name=""/>
            <xdr:cNvSpPr>
              <a:spLocks noTextEdit="1"/>
            </xdr:cNvSpPr>
          </xdr:nvSpPr>
          <xdr:spPr>
            <a:xfrm>
              <a:off x="127000" y="1794933"/>
              <a:ext cx="2245361"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24</xdr:row>
      <xdr:rowOff>25400</xdr:rowOff>
    </xdr:from>
    <xdr:to>
      <xdr:col>3</xdr:col>
      <xdr:colOff>575733</xdr:colOff>
      <xdr:row>30</xdr:row>
      <xdr:rowOff>33866</xdr:rowOff>
    </xdr:to>
    <mc:AlternateContent xmlns:mc="http://schemas.openxmlformats.org/markup-compatibility/2006">
      <mc:Choice xmlns:a14="http://schemas.microsoft.com/office/drawing/2010/main" Requires="a14">
        <xdr:graphicFrame macro="">
          <xdr:nvGraphicFramePr>
            <xdr:cNvPr id="17" name="Insurance Provider 1">
              <a:extLst>
                <a:ext uri="{FF2B5EF4-FFF2-40B4-BE49-F238E27FC236}">
                  <a16:creationId xmlns:a16="http://schemas.microsoft.com/office/drawing/2014/main" id="{49392045-ECD5-45E8-ADEA-77DDB2CB7407}"/>
                </a:ext>
              </a:extLst>
            </xdr:cNvPr>
            <xdr:cNvGraphicFramePr/>
          </xdr:nvGraphicFramePr>
          <xdr:xfrm>
            <a:off x="0" y="0"/>
            <a:ext cx="0" cy="0"/>
          </xdr:xfrm>
          <a:graphic>
            <a:graphicData uri="http://schemas.microsoft.com/office/drawing/2010/slicer">
              <sle:slicer xmlns:sle="http://schemas.microsoft.com/office/drawing/2010/slicer" name="Insurance Provider 1"/>
            </a:graphicData>
          </a:graphic>
        </xdr:graphicFrame>
      </mc:Choice>
      <mc:Fallback>
        <xdr:sp macro="" textlink="">
          <xdr:nvSpPr>
            <xdr:cNvPr id="0" name=""/>
            <xdr:cNvSpPr>
              <a:spLocks noTextEdit="1"/>
            </xdr:cNvSpPr>
          </xdr:nvSpPr>
          <xdr:spPr>
            <a:xfrm>
              <a:off x="127000" y="4682067"/>
              <a:ext cx="2277533" cy="1126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5</xdr:row>
      <xdr:rowOff>42333</xdr:rowOff>
    </xdr:from>
    <xdr:to>
      <xdr:col>3</xdr:col>
      <xdr:colOff>543560</xdr:colOff>
      <xdr:row>8</xdr:row>
      <xdr:rowOff>101600</xdr:rowOff>
    </xdr:to>
    <mc:AlternateContent xmlns:mc="http://schemas.openxmlformats.org/markup-compatibility/2006">
      <mc:Choice xmlns:a14="http://schemas.microsoft.com/office/drawing/2010/main" Requires="a14">
        <xdr:graphicFrame macro="">
          <xdr:nvGraphicFramePr>
            <xdr:cNvPr id="18" name="Gender 1">
              <a:extLst>
                <a:ext uri="{FF2B5EF4-FFF2-40B4-BE49-F238E27FC236}">
                  <a16:creationId xmlns:a16="http://schemas.microsoft.com/office/drawing/2014/main" id="{DB8446CB-B7E1-41D3-967D-B9E491330DD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7000" y="1159933"/>
              <a:ext cx="2245360" cy="618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4.923214236114" createdVersion="8" refreshedVersion="8" minRefreshableVersion="3" recordCount="1000" xr:uid="{7003B393-06DD-43C5-AC3D-3A8AF80C9E2D}">
  <cacheSource type="worksheet">
    <worksheetSource name="healthcaredata"/>
  </cacheSource>
  <cacheFields count="21">
    <cacheField name="Name" numFmtId="0">
      <sharedItems/>
    </cacheField>
    <cacheField name="Age" numFmtId="0">
      <sharedItems containsSemiMixedTypes="0" containsString="0" containsNumber="1" containsInteger="1" minValue="18" maxValue="85"/>
    </cacheField>
    <cacheField name="Gender" numFmtId="0">
      <sharedItems count="2">
        <s v="Male"/>
        <s v="Female"/>
      </sharedItems>
    </cacheField>
    <cacheField name="Blood Type" numFmtId="0">
      <sharedItems count="8">
        <s v="B-"/>
        <s v="A+"/>
        <s v="A-"/>
        <s v="O+"/>
        <s v="AB+"/>
        <s v="AB-"/>
        <s v="B+"/>
        <s v="O-"/>
      </sharedItems>
    </cacheField>
    <cacheField name="Medical Condition" numFmtId="0">
      <sharedItems count="6">
        <s v="Cancer"/>
        <s v="Obesity"/>
        <s v="Diabetes"/>
        <s v="Asthma"/>
        <s v="Hypertension"/>
        <s v="Arthritis"/>
      </sharedItems>
    </cacheField>
    <cacheField name="Date of Admission" numFmtId="14">
      <sharedItems containsSemiMixedTypes="0" containsNonDate="0" containsDate="1" containsString="0" minDate="2019-05-10T00:00:00" maxDate="2024-05-06T00:00:00"/>
    </cacheField>
    <cacheField name="Doctor" numFmtId="0">
      <sharedItems/>
    </cacheField>
    <cacheField name="Hospital" numFmtId="0">
      <sharedItems/>
    </cacheField>
    <cacheField name="Insurance Provider" numFmtId="0">
      <sharedItems count="5">
        <s v="Blue Cross"/>
        <s v="Medicare"/>
        <s v="Aetna"/>
        <s v="UnitedHealthcare"/>
        <s v="Cigna"/>
      </sharedItems>
    </cacheField>
    <cacheField name="Billing Amount" numFmtId="0">
      <sharedItems containsSemiMixedTypes="0" containsString="0" containsNumber="1" minValue="-1018.25" maxValue="51587.94"/>
    </cacheField>
    <cacheField name="Room Number" numFmtId="0">
      <sharedItems containsSemiMixedTypes="0" containsString="0" containsNumber="1" containsInteger="1" minValue="101" maxValue="500"/>
    </cacheField>
    <cacheField name="Admission Type" numFmtId="0">
      <sharedItems count="3">
        <s v="Urgent"/>
        <s v="Emergency"/>
        <s v="Elective"/>
      </sharedItems>
    </cacheField>
    <cacheField name="Discharge Date" numFmtId="14">
      <sharedItems containsSemiMixedTypes="0" containsNonDate="0" containsDate="1" containsString="0" minDate="2019-05-20T00:00:00" maxDate="2024-05-25T00:00:00"/>
    </cacheField>
    <cacheField name="Medication" numFmtId="0">
      <sharedItems/>
    </cacheField>
    <cacheField name="Test Results" numFmtId="0">
      <sharedItems count="3">
        <s v="Normal"/>
        <s v="Inconclusive"/>
        <s v="Abnormal"/>
      </sharedItems>
    </cacheField>
    <cacheField name="Length_of_Stay" numFmtId="0">
      <sharedItems containsSemiMixedTypes="0" containsString="0" containsNumber="1" containsInteger="1" minValue="1" maxValue="30"/>
    </cacheField>
    <cacheField name="Age_Group" numFmtId="0">
      <sharedItems count="4">
        <s v="Young Adult"/>
        <s v="Senior"/>
        <s v="Elderly"/>
        <s v="Middle-Aged"/>
      </sharedItems>
    </cacheField>
    <cacheField name="Billing_Category" numFmtId="0">
      <sharedItems/>
    </cacheField>
    <cacheField name="Admission_Month" numFmtId="0">
      <sharedItems containsSemiMixedTypes="0" containsString="0" containsNumber="1" containsInteger="1" minValue="1" maxValue="12"/>
    </cacheField>
    <cacheField name="Admission_Year" numFmtId="0">
      <sharedItems containsSemiMixedTypes="0" containsString="0" containsNumber="1" containsInteger="1" minValue="2019" maxValue="2024" count="6">
        <n v="2024"/>
        <n v="2019"/>
        <n v="2022"/>
        <n v="2020"/>
        <n v="2023"/>
        <n v="2021"/>
      </sharedItems>
    </cacheField>
    <cacheField name="Admission_Month_Name" numFmtId="0">
      <sharedItems/>
    </cacheField>
  </cacheFields>
  <extLst>
    <ext xmlns:x14="http://schemas.microsoft.com/office/spreadsheetml/2009/9/main" uri="{725AE2AE-9491-48be-B2B4-4EB974FC3084}">
      <x14:pivotCacheDefinition pivotCacheId="1301363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Bobby JacksOn"/>
    <n v="30"/>
    <x v="0"/>
    <x v="0"/>
    <x v="0"/>
    <d v="2024-01-31T00:00:00"/>
    <s v="Matthew Smith"/>
    <s v="Sons and Miller"/>
    <x v="0"/>
    <n v="18856.28"/>
    <n v="328"/>
    <x v="0"/>
    <d v="2024-02-02T00:00:00"/>
    <s v="Paracetamol"/>
    <x v="0"/>
    <n v="2"/>
    <x v="0"/>
    <s v="Medium"/>
    <n v="1"/>
    <x v="0"/>
    <s v="January"/>
  </r>
  <r>
    <s v="LesLie TErRy"/>
    <n v="62"/>
    <x v="0"/>
    <x v="1"/>
    <x v="1"/>
    <d v="2019-08-20T00:00:00"/>
    <s v="Samantha Davies"/>
    <s v="Kim Inc"/>
    <x v="1"/>
    <n v="33643.33"/>
    <n v="265"/>
    <x v="1"/>
    <d v="2019-08-26T00:00:00"/>
    <s v="Ibuprofen"/>
    <x v="1"/>
    <n v="6"/>
    <x v="1"/>
    <s v="High"/>
    <n v="8"/>
    <x v="1"/>
    <s v="August"/>
  </r>
  <r>
    <s v="DaNnY sMitH"/>
    <n v="76"/>
    <x v="1"/>
    <x v="2"/>
    <x v="1"/>
    <d v="2022-09-22T00:00:00"/>
    <s v="Tiffany Mitchell"/>
    <s v="Cook PLC"/>
    <x v="2"/>
    <n v="27955.1"/>
    <n v="205"/>
    <x v="1"/>
    <d v="2022-10-07T00:00:00"/>
    <s v="Aspirin"/>
    <x v="0"/>
    <n v="15"/>
    <x v="2"/>
    <s v="Medium"/>
    <n v="9"/>
    <x v="2"/>
    <s v="September"/>
  </r>
  <r>
    <s v="andrEw waTtS"/>
    <n v="28"/>
    <x v="1"/>
    <x v="3"/>
    <x v="2"/>
    <d v="2020-11-18T00:00:00"/>
    <s v="Kevin Wells"/>
    <s v="Hernandez Rogers and Vang,"/>
    <x v="1"/>
    <n v="37909.78"/>
    <n v="450"/>
    <x v="2"/>
    <d v="2020-12-18T00:00:00"/>
    <s v="Ibuprofen"/>
    <x v="2"/>
    <n v="30"/>
    <x v="0"/>
    <s v="High"/>
    <n v="11"/>
    <x v="3"/>
    <s v="November"/>
  </r>
  <r>
    <s v="adrIENNE bEll"/>
    <n v="43"/>
    <x v="1"/>
    <x v="4"/>
    <x v="0"/>
    <d v="2022-09-19T00:00:00"/>
    <s v="Kathleen Hanna"/>
    <s v="White-White"/>
    <x v="2"/>
    <n v="14238.32"/>
    <n v="458"/>
    <x v="0"/>
    <d v="2022-10-09T00:00:00"/>
    <s v="Penicillin"/>
    <x v="2"/>
    <n v="20"/>
    <x v="3"/>
    <s v="Medium"/>
    <n v="9"/>
    <x v="2"/>
    <s v="September"/>
  </r>
  <r>
    <s v="EMILY JOHNSOn"/>
    <n v="36"/>
    <x v="0"/>
    <x v="1"/>
    <x v="3"/>
    <d v="2023-12-20T00:00:00"/>
    <s v="Taylor Newton"/>
    <s v="Nunez-Humphrey"/>
    <x v="3"/>
    <n v="48145.11"/>
    <n v="389"/>
    <x v="0"/>
    <d v="2023-12-24T00:00:00"/>
    <s v="Ibuprofen"/>
    <x v="0"/>
    <n v="4"/>
    <x v="3"/>
    <s v="High"/>
    <n v="12"/>
    <x v="4"/>
    <s v="December"/>
  </r>
  <r>
    <s v="edwArD EDWaRDs"/>
    <n v="21"/>
    <x v="1"/>
    <x v="5"/>
    <x v="2"/>
    <d v="2020-11-03T00:00:00"/>
    <s v="Kelly Olson"/>
    <s v="Group Middleton"/>
    <x v="1"/>
    <n v="19580.87"/>
    <n v="389"/>
    <x v="1"/>
    <d v="2020-11-15T00:00:00"/>
    <s v="Paracetamol"/>
    <x v="1"/>
    <n v="12"/>
    <x v="0"/>
    <s v="Medium"/>
    <n v="11"/>
    <x v="3"/>
    <s v="November"/>
  </r>
  <r>
    <s v="CHrisTInA MARtinez"/>
    <n v="20"/>
    <x v="1"/>
    <x v="1"/>
    <x v="0"/>
    <d v="2021-12-28T00:00:00"/>
    <s v="Suzanne Thomas"/>
    <s v="Powell Robinson and Valdez,"/>
    <x v="4"/>
    <n v="45820.46"/>
    <n v="277"/>
    <x v="1"/>
    <d v="2022-01-07T00:00:00"/>
    <s v="Paracetamol"/>
    <x v="1"/>
    <n v="10"/>
    <x v="0"/>
    <s v="High"/>
    <n v="12"/>
    <x v="5"/>
    <s v="December"/>
  </r>
  <r>
    <s v="JASmINe aGuIlaR"/>
    <n v="82"/>
    <x v="0"/>
    <x v="4"/>
    <x v="3"/>
    <d v="2020-07-01T00:00:00"/>
    <s v="Daniel Ferguson"/>
    <s v="Sons Rich and"/>
    <x v="4"/>
    <n v="50119.22"/>
    <n v="316"/>
    <x v="2"/>
    <d v="2020-07-14T00:00:00"/>
    <s v="Aspirin"/>
    <x v="2"/>
    <n v="13"/>
    <x v="2"/>
    <s v="High"/>
    <n v="7"/>
    <x v="3"/>
    <s v="July"/>
  </r>
  <r>
    <s v="ChRISTopher BerG"/>
    <n v="58"/>
    <x v="1"/>
    <x v="5"/>
    <x v="0"/>
    <d v="2021-05-23T00:00:00"/>
    <s v="Heather Day"/>
    <s v="Padilla-Walker"/>
    <x v="3"/>
    <n v="19784.63"/>
    <n v="249"/>
    <x v="2"/>
    <d v="2021-06-22T00:00:00"/>
    <s v="Paracetamol"/>
    <x v="1"/>
    <n v="30"/>
    <x v="1"/>
    <s v="Medium"/>
    <n v="5"/>
    <x v="5"/>
    <s v="May"/>
  </r>
  <r>
    <s v="mIchElLe daniELs"/>
    <n v="72"/>
    <x v="0"/>
    <x v="3"/>
    <x v="0"/>
    <d v="2020-04-19T00:00:00"/>
    <s v="John Duncan"/>
    <s v="Schaefer-Porter"/>
    <x v="1"/>
    <n v="12576.8"/>
    <n v="394"/>
    <x v="0"/>
    <d v="2020-04-22T00:00:00"/>
    <s v="Paracetamol"/>
    <x v="0"/>
    <n v="3"/>
    <x v="2"/>
    <s v="Medium"/>
    <n v="4"/>
    <x v="3"/>
    <s v="April"/>
  </r>
  <r>
    <s v="aaRon MARtiNeZ"/>
    <n v="38"/>
    <x v="1"/>
    <x v="2"/>
    <x v="4"/>
    <d v="2023-08-13T00:00:00"/>
    <s v="Douglas Mayo"/>
    <s v="Lyons-Blair"/>
    <x v="1"/>
    <n v="7999.59"/>
    <n v="288"/>
    <x v="0"/>
    <d v="2023-09-05T00:00:00"/>
    <s v="Lipitor"/>
    <x v="1"/>
    <n v="23"/>
    <x v="3"/>
    <s v="Low"/>
    <n v="8"/>
    <x v="4"/>
    <s v="August"/>
  </r>
  <r>
    <s v="connOR HANsEn"/>
    <n v="75"/>
    <x v="1"/>
    <x v="1"/>
    <x v="2"/>
    <d v="2019-12-12T00:00:00"/>
    <s v="Kenneth Fletcher"/>
    <s v="Powers Miller, and Flores"/>
    <x v="4"/>
    <n v="43282.28"/>
    <n v="134"/>
    <x v="1"/>
    <d v="2019-12-28T00:00:00"/>
    <s v="Penicillin"/>
    <x v="2"/>
    <n v="16"/>
    <x v="2"/>
    <s v="High"/>
    <n v="12"/>
    <x v="1"/>
    <s v="December"/>
  </r>
  <r>
    <s v="rObeRt bAuer"/>
    <n v="68"/>
    <x v="1"/>
    <x v="4"/>
    <x v="3"/>
    <d v="2020-05-22T00:00:00"/>
    <s v="Theresa Freeman"/>
    <s v="Rivera-Gutierrez"/>
    <x v="3"/>
    <n v="33207.71"/>
    <n v="309"/>
    <x v="0"/>
    <d v="2020-06-19T00:00:00"/>
    <s v="Lipitor"/>
    <x v="0"/>
    <n v="28"/>
    <x v="1"/>
    <s v="High"/>
    <n v="5"/>
    <x v="3"/>
    <s v="May"/>
  </r>
  <r>
    <s v="bROOkE brady"/>
    <n v="44"/>
    <x v="1"/>
    <x v="4"/>
    <x v="0"/>
    <d v="2021-10-08T00:00:00"/>
    <s v="Roberta Stewart"/>
    <s v="Morris-Arellano"/>
    <x v="3"/>
    <n v="40701.599999999999"/>
    <n v="182"/>
    <x v="0"/>
    <d v="2021-10-13T00:00:00"/>
    <s v="Paracetamol"/>
    <x v="0"/>
    <n v="5"/>
    <x v="3"/>
    <s v="High"/>
    <n v="10"/>
    <x v="5"/>
    <s v="October"/>
  </r>
  <r>
    <s v="MS. nAtalIE gAMble"/>
    <n v="46"/>
    <x v="1"/>
    <x v="5"/>
    <x v="1"/>
    <d v="2023-01-01T00:00:00"/>
    <s v="Maria Dougherty"/>
    <s v="Cline-Williams"/>
    <x v="0"/>
    <n v="12263.36"/>
    <n v="465"/>
    <x v="2"/>
    <d v="2023-01-11T00:00:00"/>
    <s v="Aspirin"/>
    <x v="1"/>
    <n v="10"/>
    <x v="3"/>
    <s v="Medium"/>
    <n v="1"/>
    <x v="4"/>
    <s v="January"/>
  </r>
  <r>
    <s v="haley perkins"/>
    <n v="63"/>
    <x v="1"/>
    <x v="1"/>
    <x v="5"/>
    <d v="2020-06-23T00:00:00"/>
    <s v="Erica Spencer"/>
    <s v="Cervantes-Wells"/>
    <x v="3"/>
    <n v="24499.85"/>
    <n v="114"/>
    <x v="2"/>
    <d v="2020-07-14T00:00:00"/>
    <s v="Paracetamol"/>
    <x v="0"/>
    <n v="21"/>
    <x v="1"/>
    <s v="Medium"/>
    <n v="6"/>
    <x v="3"/>
    <s v="June"/>
  </r>
  <r>
    <s v="mRS. jamiE cAMPBELl"/>
    <n v="38"/>
    <x v="0"/>
    <x v="5"/>
    <x v="1"/>
    <d v="2020-03-08T00:00:00"/>
    <s v="Justin Kim"/>
    <s v="Torres, and Harrison Jones"/>
    <x v="4"/>
    <n v="17440.47"/>
    <n v="449"/>
    <x v="0"/>
    <d v="2020-04-02T00:00:00"/>
    <s v="Paracetamol"/>
    <x v="2"/>
    <n v="25"/>
    <x v="3"/>
    <s v="Medium"/>
    <n v="3"/>
    <x v="3"/>
    <s v="March"/>
  </r>
  <r>
    <s v="LuKE BuRgEss"/>
    <n v="34"/>
    <x v="1"/>
    <x v="2"/>
    <x v="4"/>
    <d v="2021-03-04T00:00:00"/>
    <s v="Justin Moore Jr."/>
    <s v="Houston PLC"/>
    <x v="0"/>
    <n v="18843.02"/>
    <n v="260"/>
    <x v="2"/>
    <d v="2021-03-14T00:00:00"/>
    <s v="Aspirin"/>
    <x v="2"/>
    <n v="10"/>
    <x v="0"/>
    <s v="Medium"/>
    <n v="3"/>
    <x v="5"/>
    <s v="March"/>
  </r>
  <r>
    <s v="dANIEL schmIdt"/>
    <n v="63"/>
    <x v="0"/>
    <x v="6"/>
    <x v="3"/>
    <d v="2022-11-15T00:00:00"/>
    <s v="Denise Galloway"/>
    <s v="Hammond Ltd"/>
    <x v="4"/>
    <n v="23762.2"/>
    <n v="465"/>
    <x v="2"/>
    <d v="2022-11-22T00:00:00"/>
    <s v="Penicillin"/>
    <x v="0"/>
    <n v="7"/>
    <x v="1"/>
    <s v="Medium"/>
    <n v="11"/>
    <x v="2"/>
    <s v="November"/>
  </r>
  <r>
    <s v="tIMOTHY burNs"/>
    <n v="67"/>
    <x v="1"/>
    <x v="2"/>
    <x v="3"/>
    <d v="2023-06-28T00:00:00"/>
    <s v="Krista Smith"/>
    <s v="Jones LLC"/>
    <x v="0"/>
    <n v="42.51"/>
    <n v="115"/>
    <x v="2"/>
    <d v="2023-07-02T00:00:00"/>
    <s v="Aspirin"/>
    <x v="0"/>
    <n v="4"/>
    <x v="1"/>
    <s v="Low"/>
    <n v="6"/>
    <x v="4"/>
    <s v="June"/>
  </r>
  <r>
    <s v="ChRISToPHEr BRiGhT"/>
    <n v="48"/>
    <x v="0"/>
    <x v="6"/>
    <x v="3"/>
    <d v="2020-01-21T00:00:00"/>
    <s v="Gregory Smith"/>
    <s v="Williams-Davis"/>
    <x v="2"/>
    <n v="17695.91"/>
    <n v="295"/>
    <x v="0"/>
    <d v="2020-02-09T00:00:00"/>
    <s v="Lipitor"/>
    <x v="0"/>
    <n v="19"/>
    <x v="3"/>
    <s v="Medium"/>
    <n v="1"/>
    <x v="3"/>
    <s v="January"/>
  </r>
  <r>
    <s v="KatHRYn StewArt"/>
    <n v="58"/>
    <x v="1"/>
    <x v="3"/>
    <x v="5"/>
    <d v="2022-05-12T00:00:00"/>
    <s v="Vanessa Newton"/>
    <s v="Clark-Mayo"/>
    <x v="2"/>
    <n v="5998.1"/>
    <n v="327"/>
    <x v="0"/>
    <d v="2022-06-10T00:00:00"/>
    <s v="Lipitor"/>
    <x v="1"/>
    <n v="29"/>
    <x v="1"/>
    <s v="Low"/>
    <n v="5"/>
    <x v="2"/>
    <s v="May"/>
  </r>
  <r>
    <s v="dR. EilEEn thomPsoN"/>
    <n v="59"/>
    <x v="0"/>
    <x v="1"/>
    <x v="3"/>
    <d v="2021-08-02T00:00:00"/>
    <s v="Donna Martinez MD"/>
    <s v="and Sons Smith"/>
    <x v="2"/>
    <n v="25250.05"/>
    <n v="119"/>
    <x v="0"/>
    <d v="2021-08-12T00:00:00"/>
    <s v="Lipitor"/>
    <x v="1"/>
    <n v="10"/>
    <x v="1"/>
    <s v="Medium"/>
    <n v="8"/>
    <x v="5"/>
    <s v="August"/>
  </r>
  <r>
    <s v="PAUl hEndERsOn"/>
    <n v="72"/>
    <x v="1"/>
    <x v="4"/>
    <x v="4"/>
    <d v="2020-05-15T00:00:00"/>
    <s v="Stephanie Kramer"/>
    <s v="Wilson Group"/>
    <x v="1"/>
    <n v="33211.300000000003"/>
    <n v="109"/>
    <x v="1"/>
    <d v="2020-06-08T00:00:00"/>
    <s v="Paracetamol"/>
    <x v="1"/>
    <n v="24"/>
    <x v="2"/>
    <s v="High"/>
    <n v="5"/>
    <x v="3"/>
    <s v="May"/>
  </r>
  <r>
    <s v="PeTER fiTzgeRaLd"/>
    <n v="73"/>
    <x v="0"/>
    <x v="4"/>
    <x v="1"/>
    <d v="2020-05-15T00:00:00"/>
    <s v="Angela Contreras"/>
    <s v="Garner-Bowman"/>
    <x v="1"/>
    <n v="19746.830000000002"/>
    <n v="162"/>
    <x v="0"/>
    <d v="2020-05-20T00:00:00"/>
    <s v="Aspirin"/>
    <x v="2"/>
    <n v="5"/>
    <x v="2"/>
    <s v="Medium"/>
    <n v="5"/>
    <x v="3"/>
    <s v="May"/>
  </r>
  <r>
    <s v="cathy sMaLl"/>
    <n v="51"/>
    <x v="1"/>
    <x v="7"/>
    <x v="3"/>
    <d v="2023-12-23T00:00:00"/>
    <s v="Wendy Glenn"/>
    <s v="Brown, and Jones Weaver"/>
    <x v="0"/>
    <n v="26786.53"/>
    <n v="401"/>
    <x v="2"/>
    <d v="2024-01-19T00:00:00"/>
    <s v="Ibuprofen"/>
    <x v="0"/>
    <n v="27"/>
    <x v="3"/>
    <s v="Medium"/>
    <n v="12"/>
    <x v="4"/>
    <s v="December"/>
  </r>
  <r>
    <s v="mr. KenNEth MoORE"/>
    <n v="34"/>
    <x v="1"/>
    <x v="1"/>
    <x v="2"/>
    <d v="2022-06-21T00:00:00"/>
    <s v="James Ellis"/>
    <s v="Serrano-Dixon"/>
    <x v="3"/>
    <n v="18834.8"/>
    <n v="157"/>
    <x v="1"/>
    <d v="2022-06-30T00:00:00"/>
    <s v="Lipitor"/>
    <x v="2"/>
    <n v="9"/>
    <x v="0"/>
    <s v="Medium"/>
    <n v="6"/>
    <x v="2"/>
    <s v="June"/>
  </r>
  <r>
    <s v="MaRy hUNter"/>
    <n v="38"/>
    <x v="1"/>
    <x v="7"/>
    <x v="4"/>
    <d v="2021-01-03T00:00:00"/>
    <s v="Jared Bruce Jr."/>
    <s v="Gardner-Miller"/>
    <x v="4"/>
    <n v="32643.3"/>
    <n v="223"/>
    <x v="1"/>
    <d v="2021-01-16T00:00:00"/>
    <s v="Penicillin"/>
    <x v="0"/>
    <n v="13"/>
    <x v="3"/>
    <s v="High"/>
    <n v="1"/>
    <x v="5"/>
    <s v="January"/>
  </r>
  <r>
    <s v="jOSHUA OLiVer"/>
    <n v="63"/>
    <x v="1"/>
    <x v="6"/>
    <x v="4"/>
    <d v="2023-10-03T00:00:00"/>
    <s v="Brandy Mitchell"/>
    <s v="Guerrero-Boone"/>
    <x v="2"/>
    <n v="5767.01"/>
    <n v="293"/>
    <x v="2"/>
    <d v="2023-10-12T00:00:00"/>
    <s v="Paracetamol"/>
    <x v="2"/>
    <n v="9"/>
    <x v="1"/>
    <s v="Low"/>
    <n v="10"/>
    <x v="4"/>
    <s v="October"/>
  </r>
  <r>
    <s v="ThOMAS MartInEZ"/>
    <n v="34"/>
    <x v="0"/>
    <x v="0"/>
    <x v="3"/>
    <d v="2019-08-18T00:00:00"/>
    <s v="Jacob Huynh"/>
    <s v="Hart Ltd"/>
    <x v="4"/>
    <n v="47909.13"/>
    <n v="371"/>
    <x v="0"/>
    <d v="2019-09-01T00:00:00"/>
    <s v="Ibuprofen"/>
    <x v="1"/>
    <n v="14"/>
    <x v="0"/>
    <s v="High"/>
    <n v="8"/>
    <x v="1"/>
    <s v="August"/>
  </r>
  <r>
    <s v="JAmES pattERson"/>
    <n v="23"/>
    <x v="1"/>
    <x v="1"/>
    <x v="5"/>
    <d v="2019-11-03T00:00:00"/>
    <s v="Kristina Frazier"/>
    <s v="Cruz-Santiago"/>
    <x v="3"/>
    <n v="25835.32"/>
    <n v="108"/>
    <x v="0"/>
    <d v="2019-11-29T00:00:00"/>
    <s v="Penicillin"/>
    <x v="2"/>
    <n v="26"/>
    <x v="0"/>
    <s v="Medium"/>
    <n v="11"/>
    <x v="1"/>
    <s v="November"/>
  </r>
  <r>
    <s v="WilLIAM cOOPEr"/>
    <n v="78"/>
    <x v="0"/>
    <x v="5"/>
    <x v="5"/>
    <d v="2023-05-18T00:00:00"/>
    <s v="John Hartman"/>
    <s v="Group Duncan"/>
    <x v="1"/>
    <n v="17993.23"/>
    <n v="245"/>
    <x v="2"/>
    <d v="2023-06-15T00:00:00"/>
    <s v="Penicillin"/>
    <x v="0"/>
    <n v="28"/>
    <x v="2"/>
    <s v="Medium"/>
    <n v="5"/>
    <x v="4"/>
    <s v="May"/>
  </r>
  <r>
    <s v="Erin oRTEga"/>
    <n v="43"/>
    <x v="0"/>
    <x v="5"/>
    <x v="0"/>
    <d v="2023-05-24T00:00:00"/>
    <s v="Heather Garcia"/>
    <s v="Lopez-Phillips"/>
    <x v="1"/>
    <n v="21185.95"/>
    <n v="494"/>
    <x v="2"/>
    <d v="2023-06-03T00:00:00"/>
    <s v="Ibuprofen"/>
    <x v="0"/>
    <n v="10"/>
    <x v="3"/>
    <s v="Medium"/>
    <n v="5"/>
    <x v="4"/>
    <s v="May"/>
  </r>
  <r>
    <s v="NicOlE RodriGUEz"/>
    <n v="30"/>
    <x v="1"/>
    <x v="4"/>
    <x v="2"/>
    <d v="2020-01-17T00:00:00"/>
    <s v="Lynn Young"/>
    <s v="Poole Inc"/>
    <x v="0"/>
    <n v="8408.9500000000007"/>
    <n v="285"/>
    <x v="1"/>
    <d v="2020-02-10T00:00:00"/>
    <s v="Lipitor"/>
    <x v="0"/>
    <n v="24"/>
    <x v="0"/>
    <s v="Low"/>
    <n v="1"/>
    <x v="3"/>
    <s v="January"/>
  </r>
  <r>
    <s v="DAvID AndErSON"/>
    <n v="25"/>
    <x v="1"/>
    <x v="4"/>
    <x v="3"/>
    <d v="2021-01-07T00:00:00"/>
    <s v="Emma Allison"/>
    <s v="Sons and Cox"/>
    <x v="1"/>
    <n v="45453.42"/>
    <n v="228"/>
    <x v="2"/>
    <d v="2021-01-26T00:00:00"/>
    <s v="Lipitor"/>
    <x v="2"/>
    <n v="19"/>
    <x v="0"/>
    <s v="High"/>
    <n v="1"/>
    <x v="5"/>
    <s v="January"/>
  </r>
  <r>
    <s v="DEnIse ToRRES"/>
    <n v="33"/>
    <x v="0"/>
    <x v="4"/>
    <x v="2"/>
    <d v="2019-10-14T00:00:00"/>
    <s v="Laura Myers"/>
    <s v="LLC Martin"/>
    <x v="2"/>
    <n v="4397.78"/>
    <n v="481"/>
    <x v="0"/>
    <d v="2019-10-19T00:00:00"/>
    <s v="Paracetamol"/>
    <x v="1"/>
    <n v="5"/>
    <x v="0"/>
    <s v="Low"/>
    <n v="10"/>
    <x v="1"/>
    <s v="October"/>
  </r>
  <r>
    <s v="CasSAndrA Robinson"/>
    <n v="26"/>
    <x v="1"/>
    <x v="0"/>
    <x v="4"/>
    <d v="2021-12-19T00:00:00"/>
    <s v="Travis Parsons"/>
    <s v="Espinoza-Stone"/>
    <x v="2"/>
    <n v="9380.33"/>
    <n v="212"/>
    <x v="0"/>
    <d v="2022-01-16T00:00:00"/>
    <s v="Ibuprofen"/>
    <x v="0"/>
    <n v="28"/>
    <x v="0"/>
    <s v="Low"/>
    <n v="12"/>
    <x v="5"/>
    <s v="December"/>
  </r>
  <r>
    <s v="NIcOlE LUcErO"/>
    <n v="70"/>
    <x v="1"/>
    <x v="7"/>
    <x v="2"/>
    <d v="2022-03-12T00:00:00"/>
    <s v="Christine Johnson"/>
    <s v="and Garcia Morris Cunningham,"/>
    <x v="4"/>
    <n v="48290.69"/>
    <n v="113"/>
    <x v="1"/>
    <d v="2022-03-29T00:00:00"/>
    <s v="Lipitor"/>
    <x v="2"/>
    <n v="17"/>
    <x v="1"/>
    <s v="High"/>
    <n v="3"/>
    <x v="2"/>
    <s v="March"/>
  </r>
  <r>
    <s v="PAmela fErNanDeZ"/>
    <n v="57"/>
    <x v="1"/>
    <x v="0"/>
    <x v="1"/>
    <d v="2021-01-17T00:00:00"/>
    <s v="Emily Taylor"/>
    <s v="Walton-Meyer"/>
    <x v="1"/>
    <n v="32973.94"/>
    <n v="272"/>
    <x v="0"/>
    <d v="2021-01-29T00:00:00"/>
    <s v="Penicillin"/>
    <x v="2"/>
    <n v="12"/>
    <x v="1"/>
    <s v="High"/>
    <n v="1"/>
    <x v="5"/>
    <s v="January"/>
  </r>
  <r>
    <s v="chRiSTOPHer LEe"/>
    <n v="74"/>
    <x v="1"/>
    <x v="0"/>
    <x v="4"/>
    <d v="2021-09-15T00:00:00"/>
    <s v="William Reynolds"/>
    <s v="PLC Young"/>
    <x v="4"/>
    <n v="49943.28"/>
    <n v="478"/>
    <x v="1"/>
    <d v="2021-10-05T00:00:00"/>
    <s v="Lipitor"/>
    <x v="0"/>
    <n v="20"/>
    <x v="2"/>
    <s v="High"/>
    <n v="9"/>
    <x v="5"/>
    <s v="September"/>
  </r>
  <r>
    <s v="ThomAS morsE"/>
    <n v="81"/>
    <x v="0"/>
    <x v="1"/>
    <x v="4"/>
    <d v="2020-01-27T00:00:00"/>
    <s v="Jennifer Carter"/>
    <s v="Meadows Group"/>
    <x v="4"/>
    <n v="35633.96"/>
    <n v="196"/>
    <x v="0"/>
    <d v="2020-02-09T00:00:00"/>
    <s v="Aspirin"/>
    <x v="0"/>
    <n v="13"/>
    <x v="2"/>
    <s v="High"/>
    <n v="1"/>
    <x v="3"/>
    <s v="January"/>
  </r>
  <r>
    <s v="Mr. eRiC Lane"/>
    <n v="49"/>
    <x v="1"/>
    <x v="2"/>
    <x v="3"/>
    <d v="2022-06-24T00:00:00"/>
    <s v="Matthew Thomas"/>
    <s v="and Howell Brooks, Rogers"/>
    <x v="4"/>
    <n v="25966.33"/>
    <n v="418"/>
    <x v="2"/>
    <d v="2022-07-18T00:00:00"/>
    <s v="Paracetamol"/>
    <x v="0"/>
    <n v="24"/>
    <x v="3"/>
    <s v="Medium"/>
    <n v="6"/>
    <x v="2"/>
    <s v="June"/>
  </r>
  <r>
    <s v="KAThEriNE SmiTH"/>
    <n v="26"/>
    <x v="1"/>
    <x v="4"/>
    <x v="1"/>
    <d v="2021-06-09T00:00:00"/>
    <s v="Mary Logan"/>
    <s v="and Mcclure White Boone,"/>
    <x v="3"/>
    <n v="21784.45"/>
    <n v="410"/>
    <x v="0"/>
    <d v="2021-07-01T00:00:00"/>
    <s v="Paracetamol"/>
    <x v="0"/>
    <n v="22"/>
    <x v="0"/>
    <s v="Medium"/>
    <n v="6"/>
    <x v="5"/>
    <s v="June"/>
  </r>
  <r>
    <s v="pAUL wILLiAmS"/>
    <n v="81"/>
    <x v="1"/>
    <x v="5"/>
    <x v="0"/>
    <d v="2020-08-23T00:00:00"/>
    <s v="Kristin Martinez"/>
    <s v="Gates Brown, and Stuart"/>
    <x v="1"/>
    <n v="42684.56"/>
    <n v="328"/>
    <x v="0"/>
    <d v="2020-09-08T00:00:00"/>
    <s v="Penicillin"/>
    <x v="2"/>
    <n v="16"/>
    <x v="2"/>
    <s v="High"/>
    <n v="8"/>
    <x v="3"/>
    <s v="August"/>
  </r>
  <r>
    <s v="lYNn MaRtinez"/>
    <n v="65"/>
    <x v="0"/>
    <x v="3"/>
    <x v="0"/>
    <d v="2022-10-12T00:00:00"/>
    <s v="Daniel Murphy"/>
    <s v="Group Armstrong"/>
    <x v="1"/>
    <n v="45585.89"/>
    <n v="300"/>
    <x v="1"/>
    <d v="2022-11-02T00:00:00"/>
    <s v="Penicillin"/>
    <x v="0"/>
    <n v="21"/>
    <x v="1"/>
    <s v="High"/>
    <n v="10"/>
    <x v="2"/>
    <s v="October"/>
  </r>
  <r>
    <s v="chRIsTOpHEr CHaPmAN"/>
    <n v="31"/>
    <x v="1"/>
    <x v="3"/>
    <x v="4"/>
    <d v="2021-12-01T00:00:00"/>
    <s v="Emily Patterson"/>
    <s v="Ltd Schwartz"/>
    <x v="4"/>
    <n v="29615.439999999999"/>
    <n v="211"/>
    <x v="2"/>
    <d v="2021-12-09T00:00:00"/>
    <s v="Paracetamol"/>
    <x v="0"/>
    <n v="8"/>
    <x v="0"/>
    <s v="Medium"/>
    <n v="12"/>
    <x v="5"/>
    <s v="December"/>
  </r>
  <r>
    <s v="CHRis fRYe"/>
    <n v="58"/>
    <x v="0"/>
    <x v="2"/>
    <x v="2"/>
    <d v="2020-05-04T00:00:00"/>
    <s v="Heather Smith"/>
    <s v="Nelson-Phillips"/>
    <x v="4"/>
    <n v="36992.269999999997"/>
    <n v="413"/>
    <x v="0"/>
    <d v="2020-05-13T00:00:00"/>
    <s v="Aspirin"/>
    <x v="0"/>
    <n v="9"/>
    <x v="1"/>
    <s v="High"/>
    <n v="5"/>
    <x v="3"/>
    <s v="May"/>
  </r>
  <r>
    <s v="kyLE bEnneTT"/>
    <n v="22"/>
    <x v="0"/>
    <x v="3"/>
    <x v="4"/>
    <d v="2023-09-09T00:00:00"/>
    <s v="John Smith"/>
    <s v="Knight and Nguyen, Riggs"/>
    <x v="3"/>
    <n v="28051.5"/>
    <n v="157"/>
    <x v="0"/>
    <d v="2023-09-23T00:00:00"/>
    <s v="Ibuprofen"/>
    <x v="2"/>
    <n v="14"/>
    <x v="0"/>
    <s v="Medium"/>
    <n v="9"/>
    <x v="4"/>
    <s v="September"/>
  </r>
  <r>
    <s v="BRandOn coLLINS"/>
    <n v="77"/>
    <x v="1"/>
    <x v="3"/>
    <x v="3"/>
    <d v="2019-07-19T00:00:00"/>
    <s v="Cameron Young"/>
    <s v="Lopez PLC"/>
    <x v="4"/>
    <n v="16320.23"/>
    <n v="138"/>
    <x v="0"/>
    <d v="2019-07-29T00:00:00"/>
    <s v="Ibuprofen"/>
    <x v="2"/>
    <n v="10"/>
    <x v="2"/>
    <s v="Medium"/>
    <n v="7"/>
    <x v="1"/>
    <s v="July"/>
  </r>
  <r>
    <s v="mIchael LiU"/>
    <n v="30"/>
    <x v="0"/>
    <x v="5"/>
    <x v="4"/>
    <d v="2024-04-05T00:00:00"/>
    <s v="Vicki Nguyen"/>
    <s v="Fernandez and Phillips, Singh"/>
    <x v="1"/>
    <n v="30590.54"/>
    <n v="456"/>
    <x v="1"/>
    <d v="2024-04-22T00:00:00"/>
    <s v="Paracetamol"/>
    <x v="1"/>
    <n v="17"/>
    <x v="0"/>
    <s v="High"/>
    <n v="4"/>
    <x v="0"/>
    <s v="April"/>
  </r>
  <r>
    <s v="STepHaNie kEnt"/>
    <n v="42"/>
    <x v="1"/>
    <x v="2"/>
    <x v="0"/>
    <d v="2019-06-15T00:00:00"/>
    <s v="Mary Moss"/>
    <s v="Beck-Galloway"/>
    <x v="2"/>
    <n v="14681.02"/>
    <n v="234"/>
    <x v="1"/>
    <d v="2019-07-05T00:00:00"/>
    <s v="Ibuprofen"/>
    <x v="2"/>
    <n v="20"/>
    <x v="3"/>
    <s v="Medium"/>
    <n v="6"/>
    <x v="1"/>
    <s v="June"/>
  </r>
  <r>
    <s v="JessE BaNks"/>
    <n v="67"/>
    <x v="1"/>
    <x v="4"/>
    <x v="0"/>
    <d v="2022-10-29T00:00:00"/>
    <s v="Alexander Garcia"/>
    <s v="Decker Glover, and Christensen"/>
    <x v="2"/>
    <n v="21879.53"/>
    <n v="492"/>
    <x v="0"/>
    <d v="2022-11-20T00:00:00"/>
    <s v="Penicillin"/>
    <x v="1"/>
    <n v="22"/>
    <x v="1"/>
    <s v="Medium"/>
    <n v="10"/>
    <x v="2"/>
    <s v="October"/>
  </r>
  <r>
    <s v="PeGGY LEe"/>
    <n v="24"/>
    <x v="1"/>
    <x v="2"/>
    <x v="1"/>
    <d v="2022-04-08T00:00:00"/>
    <s v="Patrick Burns"/>
    <s v="Nelson Walker Myers, and"/>
    <x v="3"/>
    <n v="6767.63"/>
    <n v="180"/>
    <x v="2"/>
    <d v="2022-04-13T00:00:00"/>
    <s v="Lipitor"/>
    <x v="2"/>
    <n v="5"/>
    <x v="0"/>
    <s v="Low"/>
    <n v="4"/>
    <x v="2"/>
    <s v="April"/>
  </r>
  <r>
    <s v="TAmARa hErNAndez"/>
    <n v="84"/>
    <x v="1"/>
    <x v="0"/>
    <x v="3"/>
    <d v="2023-08-17T00:00:00"/>
    <s v="Kayla Powers"/>
    <s v="Mitchell-Navarro"/>
    <x v="4"/>
    <n v="19973.46"/>
    <n v="250"/>
    <x v="2"/>
    <d v="2023-09-11T00:00:00"/>
    <s v="Ibuprofen"/>
    <x v="1"/>
    <n v="25"/>
    <x v="2"/>
    <s v="Medium"/>
    <n v="8"/>
    <x v="4"/>
    <s v="August"/>
  </r>
  <r>
    <s v="mR. DAVID pIERce Md"/>
    <n v="73"/>
    <x v="1"/>
    <x v="2"/>
    <x v="4"/>
    <d v="2023-11-05T00:00:00"/>
    <s v="Julia Cox"/>
    <s v="Group Delgado"/>
    <x v="3"/>
    <n v="14362.31"/>
    <n v="296"/>
    <x v="1"/>
    <d v="2023-11-07T00:00:00"/>
    <s v="Paracetamol"/>
    <x v="1"/>
    <n v="2"/>
    <x v="2"/>
    <s v="Medium"/>
    <n v="11"/>
    <x v="4"/>
    <s v="November"/>
  </r>
  <r>
    <s v="beThaNY MoOrE"/>
    <n v="55"/>
    <x v="1"/>
    <x v="1"/>
    <x v="0"/>
    <d v="2023-04-09T00:00:00"/>
    <s v="Penny Pruitt"/>
    <s v="and Montes Graves, Thomas"/>
    <x v="4"/>
    <n v="10300.66"/>
    <n v="330"/>
    <x v="1"/>
    <d v="2023-04-21T00:00:00"/>
    <s v="Paracetamol"/>
    <x v="0"/>
    <n v="12"/>
    <x v="3"/>
    <s v="Medium"/>
    <n v="4"/>
    <x v="4"/>
    <s v="April"/>
  </r>
  <r>
    <s v="MIChael MIllS"/>
    <n v="23"/>
    <x v="0"/>
    <x v="7"/>
    <x v="4"/>
    <d v="2022-09-21T00:00:00"/>
    <s v="Mrs. Lori Hurst PhD"/>
    <s v="Hall-Bentley"/>
    <x v="2"/>
    <n v="37951.660000000003"/>
    <n v="405"/>
    <x v="1"/>
    <d v="2022-09-25T00:00:00"/>
    <s v="Ibuprofen"/>
    <x v="1"/>
    <n v="4"/>
    <x v="0"/>
    <s v="High"/>
    <n v="9"/>
    <x v="2"/>
    <s v="September"/>
  </r>
  <r>
    <s v="kyle Wiley"/>
    <n v="40"/>
    <x v="1"/>
    <x v="5"/>
    <x v="0"/>
    <d v="2021-01-21T00:00:00"/>
    <s v="Stephen Carr"/>
    <s v="Taylor-Nguyen"/>
    <x v="2"/>
    <n v="6733.99"/>
    <n v="300"/>
    <x v="0"/>
    <d v="2021-02-06T00:00:00"/>
    <s v="Ibuprofen"/>
    <x v="0"/>
    <n v="16"/>
    <x v="3"/>
    <s v="Low"/>
    <n v="1"/>
    <x v="5"/>
    <s v="January"/>
  </r>
  <r>
    <s v="jACqUeLINE jORdaN"/>
    <n v="51"/>
    <x v="0"/>
    <x v="3"/>
    <x v="4"/>
    <d v="2020-07-10T00:00:00"/>
    <s v="Jacob Daniel"/>
    <s v="Hunter-Grant"/>
    <x v="2"/>
    <n v="17839.75"/>
    <n v="306"/>
    <x v="2"/>
    <d v="2020-07-20T00:00:00"/>
    <s v="Paracetamol"/>
    <x v="2"/>
    <n v="10"/>
    <x v="3"/>
    <s v="Medium"/>
    <n v="7"/>
    <x v="3"/>
    <s v="July"/>
  </r>
  <r>
    <s v="ASHleY guTIERreZ"/>
    <n v="83"/>
    <x v="0"/>
    <x v="4"/>
    <x v="1"/>
    <d v="2019-11-06T00:00:00"/>
    <s v="Tyler Braun"/>
    <s v="Miller-Lawson"/>
    <x v="2"/>
    <n v="24637.09"/>
    <n v="333"/>
    <x v="2"/>
    <d v="2019-11-22T00:00:00"/>
    <s v="Paracetamol"/>
    <x v="1"/>
    <n v="16"/>
    <x v="2"/>
    <s v="Medium"/>
    <n v="11"/>
    <x v="1"/>
    <s v="November"/>
  </r>
  <r>
    <s v="Kim ScOtt"/>
    <n v="63"/>
    <x v="0"/>
    <x v="2"/>
    <x v="3"/>
    <d v="2024-04-07T00:00:00"/>
    <s v="Cindy Ellis"/>
    <s v="Scott-Kelly"/>
    <x v="3"/>
    <n v="39723.17"/>
    <n v="244"/>
    <x v="1"/>
    <d v="2024-05-04T00:00:00"/>
    <s v="Ibuprofen"/>
    <x v="1"/>
    <n v="27"/>
    <x v="1"/>
    <s v="High"/>
    <n v="4"/>
    <x v="0"/>
    <s v="April"/>
  </r>
  <r>
    <s v="tRAvIs carTeR"/>
    <n v="18"/>
    <x v="0"/>
    <x v="1"/>
    <x v="0"/>
    <d v="2022-07-06T00:00:00"/>
    <s v="Megan Hahn"/>
    <s v="Moss and Ferguson, Baker"/>
    <x v="3"/>
    <n v="48407.39"/>
    <n v="325"/>
    <x v="1"/>
    <d v="2022-07-18T00:00:00"/>
    <s v="Aspirin"/>
    <x v="0"/>
    <n v="12"/>
    <x v="0"/>
    <s v="High"/>
    <n v="7"/>
    <x v="2"/>
    <s v="July"/>
  </r>
  <r>
    <s v="LArry rodgeRs"/>
    <n v="23"/>
    <x v="1"/>
    <x v="0"/>
    <x v="4"/>
    <d v="2022-08-03T00:00:00"/>
    <s v="Eric Kelly"/>
    <s v="and Mason Smith Chase,"/>
    <x v="4"/>
    <n v="5517.39"/>
    <n v="113"/>
    <x v="2"/>
    <d v="2022-08-10T00:00:00"/>
    <s v="Aspirin"/>
    <x v="1"/>
    <n v="7"/>
    <x v="0"/>
    <s v="Low"/>
    <n v="8"/>
    <x v="2"/>
    <s v="August"/>
  </r>
  <r>
    <s v="Nancy glOVeR"/>
    <n v="58"/>
    <x v="0"/>
    <x v="2"/>
    <x v="4"/>
    <d v="2020-05-08T00:00:00"/>
    <s v="Jennifer Larson"/>
    <s v="Khan, and Rodriguez Fischer"/>
    <x v="1"/>
    <n v="19183.169999999998"/>
    <n v="378"/>
    <x v="1"/>
    <d v="2020-06-01T00:00:00"/>
    <s v="Aspirin"/>
    <x v="2"/>
    <n v="24"/>
    <x v="1"/>
    <s v="Medium"/>
    <n v="5"/>
    <x v="3"/>
    <s v="May"/>
  </r>
  <r>
    <s v="JessIca king"/>
    <n v="27"/>
    <x v="0"/>
    <x v="5"/>
    <x v="0"/>
    <d v="2019-12-09T00:00:00"/>
    <s v="William Hess"/>
    <s v="Sons Watson and"/>
    <x v="1"/>
    <n v="8320.66"/>
    <n v="468"/>
    <x v="0"/>
    <d v="2019-12-21T00:00:00"/>
    <s v="Lipitor"/>
    <x v="2"/>
    <n v="12"/>
    <x v="0"/>
    <s v="Low"/>
    <n v="12"/>
    <x v="1"/>
    <s v="December"/>
  </r>
  <r>
    <s v="ChRiStOPhER gOnzAlez"/>
    <n v="59"/>
    <x v="0"/>
    <x v="6"/>
    <x v="2"/>
    <d v="2019-11-21T00:00:00"/>
    <s v="Patricia Dunn"/>
    <s v="Rhodes-Carey"/>
    <x v="1"/>
    <n v="10107.19"/>
    <n v="368"/>
    <x v="1"/>
    <d v="2019-12-08T00:00:00"/>
    <s v="Penicillin"/>
    <x v="2"/>
    <n v="17"/>
    <x v="1"/>
    <s v="Medium"/>
    <n v="11"/>
    <x v="1"/>
    <s v="November"/>
  </r>
  <r>
    <s v="jOhN hARTmAN"/>
    <n v="27"/>
    <x v="0"/>
    <x v="0"/>
    <x v="4"/>
    <d v="2023-01-07T00:00:00"/>
    <s v="Jack Jackson"/>
    <s v="Bullock-Ramsey"/>
    <x v="4"/>
    <n v="49402.3"/>
    <n v="263"/>
    <x v="2"/>
    <d v="2023-01-27T00:00:00"/>
    <s v="Lipitor"/>
    <x v="1"/>
    <n v="20"/>
    <x v="0"/>
    <s v="High"/>
    <n v="1"/>
    <x v="4"/>
    <s v="January"/>
  </r>
  <r>
    <s v="MicHAEl MillEr"/>
    <n v="31"/>
    <x v="0"/>
    <x v="6"/>
    <x v="2"/>
    <d v="2024-02-06T00:00:00"/>
    <s v="Jonathan Drake"/>
    <s v="Clark Brown, and Myers"/>
    <x v="3"/>
    <n v="35776.82"/>
    <n v="489"/>
    <x v="1"/>
    <d v="2024-02-10T00:00:00"/>
    <s v="Penicillin"/>
    <x v="0"/>
    <n v="4"/>
    <x v="0"/>
    <s v="High"/>
    <n v="2"/>
    <x v="0"/>
    <s v="February"/>
  </r>
  <r>
    <s v="Erica myERS"/>
    <n v="19"/>
    <x v="1"/>
    <x v="1"/>
    <x v="5"/>
    <d v="2020-01-30T00:00:00"/>
    <s v="Ian Benitez"/>
    <s v="Jackson and Lane, Dillon"/>
    <x v="1"/>
    <n v="20227.86"/>
    <n v="241"/>
    <x v="2"/>
    <d v="2020-02-12T00:00:00"/>
    <s v="Penicillin"/>
    <x v="0"/>
    <n v="13"/>
    <x v="0"/>
    <s v="Medium"/>
    <n v="1"/>
    <x v="3"/>
    <s v="January"/>
  </r>
  <r>
    <s v="cAROl PaTtERSoN"/>
    <n v="29"/>
    <x v="1"/>
    <x v="3"/>
    <x v="0"/>
    <d v="2022-10-24T00:00:00"/>
    <s v="Jamie Baker"/>
    <s v="Turner Cook, Banks and"/>
    <x v="0"/>
    <n v="19328.12"/>
    <n v="231"/>
    <x v="0"/>
    <d v="2022-11-07T00:00:00"/>
    <s v="Ibuprofen"/>
    <x v="0"/>
    <n v="14"/>
    <x v="0"/>
    <s v="Medium"/>
    <n v="10"/>
    <x v="2"/>
    <s v="October"/>
  </r>
  <r>
    <s v="JOSe LopEz"/>
    <n v="18"/>
    <x v="0"/>
    <x v="2"/>
    <x v="1"/>
    <d v="2022-01-09T00:00:00"/>
    <s v="Erika Jackson"/>
    <s v="Miles, and Weaver Hudson"/>
    <x v="2"/>
    <n v="46956.55"/>
    <n v="377"/>
    <x v="1"/>
    <d v="2022-01-15T00:00:00"/>
    <s v="Aspirin"/>
    <x v="1"/>
    <n v="6"/>
    <x v="0"/>
    <s v="High"/>
    <n v="1"/>
    <x v="2"/>
    <s v="January"/>
  </r>
  <r>
    <s v="kEVIn SiMmoNs Jr."/>
    <n v="24"/>
    <x v="0"/>
    <x v="5"/>
    <x v="0"/>
    <d v="2023-12-28T00:00:00"/>
    <s v="Amanda Garcia"/>
    <s v="Evans Ltd"/>
    <x v="4"/>
    <n v="10709.69"/>
    <n v="407"/>
    <x v="1"/>
    <d v="2024-01-02T00:00:00"/>
    <s v="Paracetamol"/>
    <x v="2"/>
    <n v="5"/>
    <x v="0"/>
    <s v="Medium"/>
    <n v="12"/>
    <x v="4"/>
    <s v="December"/>
  </r>
  <r>
    <s v="DuANe HaneY"/>
    <n v="27"/>
    <x v="0"/>
    <x v="5"/>
    <x v="2"/>
    <d v="2021-09-16T00:00:00"/>
    <s v="Raven Wong"/>
    <s v="Sons and Schaefer"/>
    <x v="2"/>
    <n v="45353.99"/>
    <n v="263"/>
    <x v="0"/>
    <d v="2021-10-14T00:00:00"/>
    <s v="Penicillin"/>
    <x v="2"/>
    <n v="28"/>
    <x v="0"/>
    <s v="High"/>
    <n v="9"/>
    <x v="5"/>
    <s v="September"/>
  </r>
  <r>
    <s v="JONathAn yaTeS"/>
    <n v="57"/>
    <x v="1"/>
    <x v="5"/>
    <x v="5"/>
    <d v="2023-07-24T00:00:00"/>
    <s v="Cynthia Scott"/>
    <s v="Sons Hodges and"/>
    <x v="2"/>
    <n v="8451"/>
    <n v="135"/>
    <x v="2"/>
    <d v="2023-08-11T00:00:00"/>
    <s v="Paracetamol"/>
    <x v="2"/>
    <n v="18"/>
    <x v="1"/>
    <s v="Low"/>
    <n v="7"/>
    <x v="4"/>
    <s v="July"/>
  </r>
  <r>
    <s v="johN THoMaS"/>
    <n v="74"/>
    <x v="1"/>
    <x v="1"/>
    <x v="5"/>
    <d v="2021-11-13T00:00:00"/>
    <s v="Mark Padilla"/>
    <s v="Simpson-Mccall"/>
    <x v="3"/>
    <n v="29850.880000000001"/>
    <n v="131"/>
    <x v="1"/>
    <d v="2021-12-07T00:00:00"/>
    <s v="Paracetamol"/>
    <x v="1"/>
    <n v="24"/>
    <x v="2"/>
    <s v="Medium"/>
    <n v="11"/>
    <x v="5"/>
    <s v="November"/>
  </r>
  <r>
    <s v="AdriaN BuckLEY"/>
    <n v="22"/>
    <x v="1"/>
    <x v="2"/>
    <x v="5"/>
    <d v="2023-10-11T00:00:00"/>
    <s v="Julie Ramirez"/>
    <s v="Lin Thompson Wells, and"/>
    <x v="0"/>
    <n v="42696.52"/>
    <n v="102"/>
    <x v="0"/>
    <d v="2023-10-27T00:00:00"/>
    <s v="Penicillin"/>
    <x v="0"/>
    <n v="16"/>
    <x v="0"/>
    <s v="High"/>
    <n v="10"/>
    <x v="4"/>
    <s v="October"/>
  </r>
  <r>
    <s v="apRil SANTIAgO"/>
    <n v="33"/>
    <x v="1"/>
    <x v="0"/>
    <x v="2"/>
    <d v="2021-01-30T00:00:00"/>
    <s v="Jacob Rich"/>
    <s v="Jones-Scott"/>
    <x v="4"/>
    <n v="2305.14"/>
    <n v="249"/>
    <x v="1"/>
    <d v="2021-02-04T00:00:00"/>
    <s v="Penicillin"/>
    <x v="1"/>
    <n v="5"/>
    <x v="0"/>
    <s v="Low"/>
    <n v="1"/>
    <x v="5"/>
    <s v="January"/>
  </r>
  <r>
    <s v="DIane scHultz"/>
    <n v="57"/>
    <x v="0"/>
    <x v="6"/>
    <x v="5"/>
    <d v="2021-11-21T00:00:00"/>
    <s v="Mark Hartman Jr."/>
    <s v="Howe-Kelly"/>
    <x v="3"/>
    <n v="44437.47"/>
    <n v="255"/>
    <x v="1"/>
    <d v="2021-12-05T00:00:00"/>
    <s v="Penicillin"/>
    <x v="1"/>
    <n v="14"/>
    <x v="1"/>
    <s v="High"/>
    <n v="11"/>
    <x v="5"/>
    <s v="November"/>
  </r>
  <r>
    <s v="tiMOThY myers"/>
    <n v="61"/>
    <x v="0"/>
    <x v="6"/>
    <x v="0"/>
    <d v="2024-03-02T00:00:00"/>
    <s v="Timothy Baker"/>
    <s v="and Sons Reyes"/>
    <x v="3"/>
    <n v="29504.39"/>
    <n v="422"/>
    <x v="0"/>
    <d v="2024-03-26T00:00:00"/>
    <s v="Ibuprofen"/>
    <x v="1"/>
    <n v="24"/>
    <x v="1"/>
    <s v="Medium"/>
    <n v="3"/>
    <x v="0"/>
    <s v="March"/>
  </r>
  <r>
    <s v="NICOLE HUGhes"/>
    <n v="20"/>
    <x v="0"/>
    <x v="3"/>
    <x v="5"/>
    <d v="2020-12-04T00:00:00"/>
    <s v="Lori Sanchez"/>
    <s v="Shaw-Young"/>
    <x v="0"/>
    <n v="34617.79"/>
    <n v="320"/>
    <x v="1"/>
    <d v="2020-12-08T00:00:00"/>
    <s v="Ibuprofen"/>
    <x v="2"/>
    <n v="4"/>
    <x v="0"/>
    <s v="High"/>
    <n v="12"/>
    <x v="3"/>
    <s v="December"/>
  </r>
  <r>
    <s v="ChAd MorEnO"/>
    <n v="67"/>
    <x v="0"/>
    <x v="4"/>
    <x v="4"/>
    <d v="2020-08-26T00:00:00"/>
    <s v="Connie Boyd"/>
    <s v="Inc Skinner"/>
    <x v="2"/>
    <n v="46814.01"/>
    <n v="134"/>
    <x v="0"/>
    <d v="2020-08-27T00:00:00"/>
    <s v="Penicillin"/>
    <x v="2"/>
    <n v="1"/>
    <x v="1"/>
    <s v="High"/>
    <n v="8"/>
    <x v="3"/>
    <s v="August"/>
  </r>
  <r>
    <s v="SeaN jenniNGs"/>
    <n v="80"/>
    <x v="1"/>
    <x v="5"/>
    <x v="2"/>
    <d v="2023-11-12T00:00:00"/>
    <s v="James Tucker"/>
    <s v="Clark-Johnson"/>
    <x v="0"/>
    <n v="20257.54"/>
    <n v="255"/>
    <x v="2"/>
    <d v="2023-12-12T00:00:00"/>
    <s v="Penicillin"/>
    <x v="2"/>
    <n v="30"/>
    <x v="2"/>
    <s v="Medium"/>
    <n v="11"/>
    <x v="4"/>
    <s v="November"/>
  </r>
  <r>
    <s v="DIAnE brAnch"/>
    <n v="44"/>
    <x v="0"/>
    <x v="3"/>
    <x v="1"/>
    <d v="2020-05-30T00:00:00"/>
    <s v="Juan Acevedo"/>
    <s v="Perez and Sons"/>
    <x v="4"/>
    <n v="22841.360000000001"/>
    <n v="410"/>
    <x v="1"/>
    <d v="2020-06-14T00:00:00"/>
    <s v="Aspirin"/>
    <x v="1"/>
    <n v="15"/>
    <x v="3"/>
    <s v="Medium"/>
    <n v="5"/>
    <x v="3"/>
    <s v="May"/>
  </r>
  <r>
    <s v="cindY OROzco"/>
    <n v="26"/>
    <x v="1"/>
    <x v="0"/>
    <x v="3"/>
    <d v="2023-05-12T00:00:00"/>
    <s v="Julie Finley"/>
    <s v="Kemp LLC"/>
    <x v="1"/>
    <n v="10283.719999999999"/>
    <n v="273"/>
    <x v="1"/>
    <d v="2023-06-10T00:00:00"/>
    <s v="Ibuprofen"/>
    <x v="2"/>
    <n v="29"/>
    <x v="0"/>
    <s v="Medium"/>
    <n v="5"/>
    <x v="4"/>
    <s v="May"/>
  </r>
  <r>
    <s v="pAtriCIa MEdinA"/>
    <n v="80"/>
    <x v="0"/>
    <x v="4"/>
    <x v="0"/>
    <d v="2022-07-07T00:00:00"/>
    <s v="Miguel Parker"/>
    <s v="LLC Dixon"/>
    <x v="3"/>
    <n v="1586.48"/>
    <n v="395"/>
    <x v="1"/>
    <d v="2022-07-23T00:00:00"/>
    <s v="Ibuprofen"/>
    <x v="0"/>
    <n v="16"/>
    <x v="2"/>
    <s v="Low"/>
    <n v="7"/>
    <x v="2"/>
    <s v="July"/>
  </r>
  <r>
    <s v="kayLa padillA"/>
    <n v="63"/>
    <x v="0"/>
    <x v="0"/>
    <x v="3"/>
    <d v="2020-09-24T00:00:00"/>
    <s v="Jermaine Peters"/>
    <s v="and Morales Jennings Cook,"/>
    <x v="2"/>
    <n v="34774.35"/>
    <n v="152"/>
    <x v="1"/>
    <d v="2020-10-08T00:00:00"/>
    <s v="Penicillin"/>
    <x v="1"/>
    <n v="14"/>
    <x v="1"/>
    <s v="High"/>
    <n v="9"/>
    <x v="3"/>
    <s v="September"/>
  </r>
  <r>
    <s v="JUan klEiN"/>
    <n v="58"/>
    <x v="1"/>
    <x v="0"/>
    <x v="5"/>
    <d v="2023-08-19T00:00:00"/>
    <s v="Lisa Edwards"/>
    <s v="Group Hood"/>
    <x v="3"/>
    <n v="24870.1"/>
    <n v="321"/>
    <x v="1"/>
    <d v="2023-08-25T00:00:00"/>
    <s v="Ibuprofen"/>
    <x v="1"/>
    <n v="6"/>
    <x v="1"/>
    <s v="Medium"/>
    <n v="8"/>
    <x v="4"/>
    <s v="August"/>
  </r>
  <r>
    <s v="wILLIAM hIlL"/>
    <n v="38"/>
    <x v="1"/>
    <x v="1"/>
    <x v="0"/>
    <d v="2023-05-16T00:00:00"/>
    <s v="Matthew Walker"/>
    <s v="Lindsey Inc"/>
    <x v="4"/>
    <n v="39476.949999999997"/>
    <n v="428"/>
    <x v="2"/>
    <d v="2023-06-01T00:00:00"/>
    <s v="Aspirin"/>
    <x v="2"/>
    <n v="16"/>
    <x v="3"/>
    <s v="High"/>
    <n v="5"/>
    <x v="4"/>
    <s v="May"/>
  </r>
  <r>
    <s v="CARL BEst"/>
    <n v="60"/>
    <x v="0"/>
    <x v="6"/>
    <x v="4"/>
    <d v="2022-08-22T00:00:00"/>
    <s v="Gregory Hansen"/>
    <s v="Ltd Wang"/>
    <x v="0"/>
    <n v="26062.43"/>
    <n v="482"/>
    <x v="2"/>
    <d v="2022-09-07T00:00:00"/>
    <s v="Paracetamol"/>
    <x v="1"/>
    <n v="16"/>
    <x v="1"/>
    <s v="Medium"/>
    <n v="8"/>
    <x v="2"/>
    <s v="August"/>
  </r>
  <r>
    <s v="TInA GriFfin"/>
    <n v="49"/>
    <x v="0"/>
    <x v="6"/>
    <x v="0"/>
    <d v="2022-06-17T00:00:00"/>
    <s v="Jessica Cruz"/>
    <s v="Inc Ford"/>
    <x v="1"/>
    <n v="25302.11"/>
    <n v="268"/>
    <x v="2"/>
    <d v="2022-06-28T00:00:00"/>
    <s v="Penicillin"/>
    <x v="2"/>
    <n v="11"/>
    <x v="3"/>
    <s v="Medium"/>
    <n v="6"/>
    <x v="2"/>
    <s v="June"/>
  </r>
  <r>
    <s v="MR. TYler TAYLOR Phd"/>
    <n v="80"/>
    <x v="0"/>
    <x v="1"/>
    <x v="2"/>
    <d v="2022-11-05T00:00:00"/>
    <s v="Robert Salazar"/>
    <s v="Dean-Hawkins"/>
    <x v="3"/>
    <n v="10661.51"/>
    <n v="120"/>
    <x v="1"/>
    <d v="2022-11-25T00:00:00"/>
    <s v="Lipitor"/>
    <x v="2"/>
    <n v="20"/>
    <x v="2"/>
    <s v="Medium"/>
    <n v="11"/>
    <x v="2"/>
    <s v="November"/>
  </r>
  <r>
    <s v="TAyLoR howeLl Dds"/>
    <n v="35"/>
    <x v="1"/>
    <x v="6"/>
    <x v="2"/>
    <d v="2021-09-10T00:00:00"/>
    <s v="Kyle Patterson"/>
    <s v="Walter PLC"/>
    <x v="0"/>
    <n v="30358.19"/>
    <n v="318"/>
    <x v="2"/>
    <d v="2021-09-18T00:00:00"/>
    <s v="Ibuprofen"/>
    <x v="1"/>
    <n v="8"/>
    <x v="0"/>
    <s v="High"/>
    <n v="9"/>
    <x v="5"/>
    <s v="September"/>
  </r>
  <r>
    <s v="mIcHAeL MaRTIn"/>
    <n v="84"/>
    <x v="0"/>
    <x v="1"/>
    <x v="3"/>
    <d v="2022-09-06T00:00:00"/>
    <s v="John Summers"/>
    <s v="Sons Horn and"/>
    <x v="4"/>
    <n v="23684.53"/>
    <n v="162"/>
    <x v="0"/>
    <d v="2022-09-27T00:00:00"/>
    <s v="Ibuprofen"/>
    <x v="1"/>
    <n v="21"/>
    <x v="2"/>
    <s v="Medium"/>
    <n v="9"/>
    <x v="2"/>
    <s v="September"/>
  </r>
  <r>
    <s v="heatHER mIller"/>
    <n v="76"/>
    <x v="0"/>
    <x v="1"/>
    <x v="2"/>
    <d v="2021-04-17T00:00:00"/>
    <s v="Scott Grant"/>
    <s v="Powell Ward, and Mercado"/>
    <x v="2"/>
    <n v="3908.95"/>
    <n v="428"/>
    <x v="2"/>
    <d v="2021-05-10T00:00:00"/>
    <s v="Lipitor"/>
    <x v="1"/>
    <n v="23"/>
    <x v="2"/>
    <s v="Low"/>
    <n v="4"/>
    <x v="5"/>
    <s v="April"/>
  </r>
  <r>
    <s v="cathERinE gArDnEr"/>
    <n v="79"/>
    <x v="1"/>
    <x v="2"/>
    <x v="4"/>
    <d v="2019-08-19T00:00:00"/>
    <s v="David Ruiz"/>
    <s v="James Ltd"/>
    <x v="1"/>
    <n v="25503.67"/>
    <n v="144"/>
    <x v="2"/>
    <d v="2019-08-26T00:00:00"/>
    <s v="Lipitor"/>
    <x v="2"/>
    <n v="7"/>
    <x v="2"/>
    <s v="Medium"/>
    <n v="8"/>
    <x v="1"/>
    <s v="August"/>
  </r>
  <r>
    <s v="ANNE THOMPSoN"/>
    <n v="76"/>
    <x v="1"/>
    <x v="3"/>
    <x v="2"/>
    <d v="2024-03-24T00:00:00"/>
    <s v="Kyle Smith"/>
    <s v="Kemp-Munoz"/>
    <x v="2"/>
    <n v="6312.61"/>
    <n v="226"/>
    <x v="2"/>
    <d v="2024-04-14T00:00:00"/>
    <s v="Aspirin"/>
    <x v="2"/>
    <n v="21"/>
    <x v="2"/>
    <s v="Low"/>
    <n v="3"/>
    <x v="0"/>
    <s v="March"/>
  </r>
  <r>
    <s v="TOdd coopeR"/>
    <n v="55"/>
    <x v="1"/>
    <x v="1"/>
    <x v="2"/>
    <d v="2022-12-10T00:00:00"/>
    <s v="Jason Price"/>
    <s v="Henderson-Taylor"/>
    <x v="3"/>
    <n v="21772.34"/>
    <n v="459"/>
    <x v="2"/>
    <d v="2022-12-31T00:00:00"/>
    <s v="Ibuprofen"/>
    <x v="0"/>
    <n v="21"/>
    <x v="3"/>
    <s v="Medium"/>
    <n v="12"/>
    <x v="2"/>
    <s v="December"/>
  </r>
  <r>
    <s v="PhILLIP lyOnS"/>
    <n v="53"/>
    <x v="0"/>
    <x v="0"/>
    <x v="0"/>
    <d v="2022-09-14T00:00:00"/>
    <s v="Stephanie Clements"/>
    <s v="Parsons, Hartman Martinez and"/>
    <x v="0"/>
    <n v="30437"/>
    <n v="208"/>
    <x v="2"/>
    <d v="2022-09-18T00:00:00"/>
    <s v="Aspirin"/>
    <x v="0"/>
    <n v="4"/>
    <x v="3"/>
    <s v="High"/>
    <n v="9"/>
    <x v="2"/>
    <s v="September"/>
  </r>
  <r>
    <s v="MaRk foRD"/>
    <n v="18"/>
    <x v="0"/>
    <x v="6"/>
    <x v="3"/>
    <d v="2022-10-18T00:00:00"/>
    <s v="Steven James"/>
    <s v="Luna Inc"/>
    <x v="3"/>
    <n v="28837.68"/>
    <n v="227"/>
    <x v="2"/>
    <d v="2022-11-11T00:00:00"/>
    <s v="Aspirin"/>
    <x v="2"/>
    <n v="24"/>
    <x v="0"/>
    <s v="Medium"/>
    <n v="10"/>
    <x v="2"/>
    <s v="October"/>
  </r>
  <r>
    <s v="mARcUS ZAmorA"/>
    <n v="69"/>
    <x v="0"/>
    <x v="3"/>
    <x v="5"/>
    <d v="2021-11-13T00:00:00"/>
    <s v="Jeremiah Wolf"/>
    <s v="Hernandez, Ritter and Huffman"/>
    <x v="4"/>
    <n v="25425.73"/>
    <n v="115"/>
    <x v="2"/>
    <d v="2021-11-21T00:00:00"/>
    <s v="Aspirin"/>
    <x v="0"/>
    <n v="8"/>
    <x v="1"/>
    <s v="Medium"/>
    <n v="11"/>
    <x v="5"/>
    <s v="November"/>
  </r>
  <r>
    <s v="KaTiE hENry"/>
    <n v="70"/>
    <x v="0"/>
    <x v="6"/>
    <x v="2"/>
    <d v="2022-07-08T00:00:00"/>
    <s v="Roberto Petersen"/>
    <s v="Reed LLC"/>
    <x v="2"/>
    <n v="7187.27"/>
    <n v="402"/>
    <x v="1"/>
    <d v="2022-07-25T00:00:00"/>
    <s v="Aspirin"/>
    <x v="0"/>
    <n v="17"/>
    <x v="1"/>
    <s v="Low"/>
    <n v="7"/>
    <x v="2"/>
    <s v="July"/>
  </r>
  <r>
    <s v="wilLIAm morTON"/>
    <n v="21"/>
    <x v="0"/>
    <x v="1"/>
    <x v="2"/>
    <d v="2023-06-25T00:00:00"/>
    <s v="Christina Hammond"/>
    <s v="Thompson-Walker"/>
    <x v="3"/>
    <n v="3125.74"/>
    <n v="442"/>
    <x v="0"/>
    <d v="2023-07-11T00:00:00"/>
    <s v="Ibuprofen"/>
    <x v="0"/>
    <n v="16"/>
    <x v="0"/>
    <s v="Low"/>
    <n v="6"/>
    <x v="4"/>
    <s v="June"/>
  </r>
  <r>
    <s v="KaTRina maRTin"/>
    <n v="47"/>
    <x v="0"/>
    <x v="2"/>
    <x v="2"/>
    <d v="2019-07-09T00:00:00"/>
    <s v="Patricia Colon"/>
    <s v="Group Nguyen"/>
    <x v="1"/>
    <n v="31516.1"/>
    <n v="418"/>
    <x v="2"/>
    <d v="2019-08-05T00:00:00"/>
    <s v="Penicillin"/>
    <x v="1"/>
    <n v="27"/>
    <x v="3"/>
    <s v="High"/>
    <n v="7"/>
    <x v="1"/>
    <s v="July"/>
  </r>
  <r>
    <s v="HunTeR mckAy"/>
    <n v="85"/>
    <x v="0"/>
    <x v="2"/>
    <x v="5"/>
    <d v="2021-05-14T00:00:00"/>
    <s v="Dominic Mitchell"/>
    <s v="Newton-White"/>
    <x v="3"/>
    <n v="40014.76"/>
    <n v="425"/>
    <x v="1"/>
    <d v="2021-06-03T00:00:00"/>
    <s v="Aspirin"/>
    <x v="2"/>
    <n v="20"/>
    <x v="2"/>
    <s v="High"/>
    <n v="5"/>
    <x v="5"/>
    <s v="May"/>
  </r>
  <r>
    <s v="dWAYnE DAViS"/>
    <n v="28"/>
    <x v="0"/>
    <x v="3"/>
    <x v="0"/>
    <d v="2024-01-15T00:00:00"/>
    <s v="Wendy Davis"/>
    <s v="Ltd Thomas"/>
    <x v="1"/>
    <n v="40782.93"/>
    <n v="373"/>
    <x v="2"/>
    <d v="2024-02-07T00:00:00"/>
    <s v="Ibuprofen"/>
    <x v="2"/>
    <n v="23"/>
    <x v="0"/>
    <s v="High"/>
    <n v="1"/>
    <x v="0"/>
    <s v="January"/>
  </r>
  <r>
    <s v="sARAH CalDweLL"/>
    <n v="62"/>
    <x v="0"/>
    <x v="2"/>
    <x v="1"/>
    <d v="2019-09-30T00:00:00"/>
    <s v="Daniel Carson"/>
    <s v="Pierce Ward, Torres and"/>
    <x v="4"/>
    <n v="3879.08"/>
    <n v="290"/>
    <x v="2"/>
    <d v="2019-10-15T00:00:00"/>
    <s v="Aspirin"/>
    <x v="1"/>
    <n v="15"/>
    <x v="1"/>
    <s v="Low"/>
    <n v="9"/>
    <x v="1"/>
    <s v="September"/>
  </r>
  <r>
    <s v="DAVid higgInS"/>
    <n v="49"/>
    <x v="1"/>
    <x v="0"/>
    <x v="5"/>
    <d v="2021-03-05T00:00:00"/>
    <s v="Erin Henderson MD"/>
    <s v="Evans and Hall Schneider,"/>
    <x v="1"/>
    <n v="24948.48"/>
    <n v="361"/>
    <x v="1"/>
    <d v="2021-03-20T00:00:00"/>
    <s v="Penicillin"/>
    <x v="2"/>
    <n v="15"/>
    <x v="3"/>
    <s v="Medium"/>
    <n v="3"/>
    <x v="5"/>
    <s v="March"/>
  </r>
  <r>
    <s v="bRADlEY coMbS"/>
    <n v="52"/>
    <x v="0"/>
    <x v="5"/>
    <x v="4"/>
    <d v="2021-05-14T00:00:00"/>
    <s v="Christopher Butler"/>
    <s v="Stout-Brown"/>
    <x v="4"/>
    <n v="37734.74"/>
    <n v="251"/>
    <x v="2"/>
    <d v="2021-06-06T00:00:00"/>
    <s v="Penicillin"/>
    <x v="2"/>
    <n v="23"/>
    <x v="3"/>
    <s v="High"/>
    <n v="5"/>
    <x v="5"/>
    <s v="May"/>
  </r>
  <r>
    <s v="chrisTiNa SChMitt"/>
    <n v="53"/>
    <x v="0"/>
    <x v="6"/>
    <x v="0"/>
    <d v="2023-06-08T00:00:00"/>
    <s v="Samuel Robles"/>
    <s v="Cruz Ltd"/>
    <x v="3"/>
    <n v="27360.46"/>
    <n v="231"/>
    <x v="2"/>
    <d v="2023-07-05T00:00:00"/>
    <s v="Ibuprofen"/>
    <x v="2"/>
    <n v="27"/>
    <x v="3"/>
    <s v="Medium"/>
    <n v="6"/>
    <x v="4"/>
    <s v="June"/>
  </r>
  <r>
    <s v="coLtoN stRONg"/>
    <n v="55"/>
    <x v="0"/>
    <x v="5"/>
    <x v="3"/>
    <d v="2022-05-13T00:00:00"/>
    <s v="Benjamin Webb"/>
    <s v="Stewart Sons and"/>
    <x v="2"/>
    <n v="37405.699999999997"/>
    <n v="212"/>
    <x v="2"/>
    <d v="2022-05-20T00:00:00"/>
    <s v="Paracetamol"/>
    <x v="0"/>
    <n v="7"/>
    <x v="3"/>
    <s v="High"/>
    <n v="5"/>
    <x v="2"/>
    <s v="May"/>
  </r>
  <r>
    <s v="MARK priCE"/>
    <n v="18"/>
    <x v="0"/>
    <x v="0"/>
    <x v="5"/>
    <d v="2022-09-22T00:00:00"/>
    <s v="Krystal Fox"/>
    <s v="Hall Roberts and Duarte,"/>
    <x v="1"/>
    <n v="31485.97"/>
    <n v="440"/>
    <x v="1"/>
    <d v="2022-10-14T00:00:00"/>
    <s v="Ibuprofen"/>
    <x v="0"/>
    <n v="22"/>
    <x v="0"/>
    <s v="High"/>
    <n v="9"/>
    <x v="2"/>
    <s v="September"/>
  </r>
  <r>
    <s v="sUZaNnE SchNeIder"/>
    <n v="52"/>
    <x v="0"/>
    <x v="5"/>
    <x v="4"/>
    <d v="2023-08-25T00:00:00"/>
    <s v="Bruce Garrett"/>
    <s v="Ramirez-Robinson"/>
    <x v="1"/>
    <n v="23737.4"/>
    <n v="414"/>
    <x v="0"/>
    <d v="2023-09-18T00:00:00"/>
    <s v="Lipitor"/>
    <x v="0"/>
    <n v="24"/>
    <x v="3"/>
    <s v="Medium"/>
    <n v="8"/>
    <x v="4"/>
    <s v="August"/>
  </r>
  <r>
    <s v="MIchaEL HUrLEY"/>
    <n v="67"/>
    <x v="0"/>
    <x v="5"/>
    <x v="1"/>
    <d v="2019-06-02T00:00:00"/>
    <s v="Jonathan Watson"/>
    <s v="Garcia, and Bishop Hernandez"/>
    <x v="2"/>
    <n v="3326.38"/>
    <n v="424"/>
    <x v="1"/>
    <d v="2019-06-04T00:00:00"/>
    <s v="Lipitor"/>
    <x v="1"/>
    <n v="2"/>
    <x v="1"/>
    <s v="Low"/>
    <n v="6"/>
    <x v="1"/>
    <s v="June"/>
  </r>
  <r>
    <s v="LIndsEy laMbErt"/>
    <n v="82"/>
    <x v="1"/>
    <x v="1"/>
    <x v="4"/>
    <d v="2021-11-19T00:00:00"/>
    <s v="Christopher Guerra"/>
    <s v="and Brown Oneal, Shah"/>
    <x v="1"/>
    <n v="23067.67"/>
    <n v="307"/>
    <x v="2"/>
    <d v="2021-12-12T00:00:00"/>
    <s v="Ibuprofen"/>
    <x v="0"/>
    <n v="23"/>
    <x v="2"/>
    <s v="Medium"/>
    <n v="11"/>
    <x v="5"/>
    <s v="November"/>
  </r>
  <r>
    <s v="reBEcCA PARsONs"/>
    <n v="37"/>
    <x v="1"/>
    <x v="3"/>
    <x v="3"/>
    <d v="2019-12-02T00:00:00"/>
    <s v="Steven Adams"/>
    <s v="Group White"/>
    <x v="2"/>
    <n v="8521.2099999999991"/>
    <n v="476"/>
    <x v="2"/>
    <d v="2019-12-13T00:00:00"/>
    <s v="Penicillin"/>
    <x v="2"/>
    <n v="11"/>
    <x v="3"/>
    <s v="Low"/>
    <n v="12"/>
    <x v="1"/>
    <s v="December"/>
  </r>
  <r>
    <s v="jUdy joHNsoN"/>
    <n v="52"/>
    <x v="1"/>
    <x v="5"/>
    <x v="0"/>
    <d v="2020-08-21T00:00:00"/>
    <s v="Victoria Patel"/>
    <s v="Hughes and Erickson, Anderson"/>
    <x v="4"/>
    <n v="47985.17"/>
    <n v="388"/>
    <x v="2"/>
    <d v="2020-09-06T00:00:00"/>
    <s v="Penicillin"/>
    <x v="1"/>
    <n v="16"/>
    <x v="3"/>
    <s v="High"/>
    <n v="8"/>
    <x v="3"/>
    <s v="August"/>
  </r>
  <r>
    <s v="TOnyA caMpbell"/>
    <n v="37"/>
    <x v="1"/>
    <x v="6"/>
    <x v="3"/>
    <d v="2021-02-12T00:00:00"/>
    <s v="Louis Bell"/>
    <s v="Lane-Kelly"/>
    <x v="3"/>
    <n v="25230.25"/>
    <n v="326"/>
    <x v="2"/>
    <d v="2021-03-11T00:00:00"/>
    <s v="Ibuprofen"/>
    <x v="1"/>
    <n v="27"/>
    <x v="3"/>
    <s v="Medium"/>
    <n v="2"/>
    <x v="5"/>
    <s v="February"/>
  </r>
  <r>
    <s v="JAMEs Ross"/>
    <n v="83"/>
    <x v="1"/>
    <x v="1"/>
    <x v="2"/>
    <d v="2024-01-13T00:00:00"/>
    <s v="Michael Baker"/>
    <s v="Cox-Hester"/>
    <x v="0"/>
    <n v="10352.209999999999"/>
    <n v="394"/>
    <x v="0"/>
    <d v="2024-01-22T00:00:00"/>
    <s v="Aspirin"/>
    <x v="2"/>
    <n v="9"/>
    <x v="2"/>
    <s v="Medium"/>
    <n v="1"/>
    <x v="0"/>
    <s v="January"/>
  </r>
  <r>
    <s v="SaRA COOk"/>
    <n v="33"/>
    <x v="0"/>
    <x v="7"/>
    <x v="5"/>
    <d v="2021-12-26T00:00:00"/>
    <s v="Douglas Fleming"/>
    <s v="Jarvis Scott, Fleming and"/>
    <x v="1"/>
    <n v="6175.87"/>
    <n v="138"/>
    <x v="0"/>
    <d v="2022-01-12T00:00:00"/>
    <s v="Aspirin"/>
    <x v="2"/>
    <n v="17"/>
    <x v="0"/>
    <s v="Low"/>
    <n v="12"/>
    <x v="5"/>
    <s v="December"/>
  </r>
  <r>
    <s v="annE howeLl"/>
    <n v="22"/>
    <x v="1"/>
    <x v="2"/>
    <x v="1"/>
    <d v="2022-08-22T00:00:00"/>
    <s v="Patrick Carter"/>
    <s v="Cline-Carpenter"/>
    <x v="0"/>
    <n v="23499.94"/>
    <n v="178"/>
    <x v="0"/>
    <d v="2022-09-07T00:00:00"/>
    <s v="Penicillin"/>
    <x v="0"/>
    <n v="16"/>
    <x v="0"/>
    <s v="Medium"/>
    <n v="8"/>
    <x v="2"/>
    <s v="August"/>
  </r>
  <r>
    <s v="RENEE bAilEY"/>
    <n v="19"/>
    <x v="1"/>
    <x v="6"/>
    <x v="0"/>
    <d v="2021-07-03T00:00:00"/>
    <s v="Sarah Shaffer"/>
    <s v="Johnson, and Ross Harris"/>
    <x v="1"/>
    <n v="33681.57"/>
    <n v="177"/>
    <x v="2"/>
    <d v="2021-07-31T00:00:00"/>
    <s v="Ibuprofen"/>
    <x v="2"/>
    <n v="28"/>
    <x v="0"/>
    <s v="High"/>
    <n v="7"/>
    <x v="5"/>
    <s v="July"/>
  </r>
  <r>
    <s v="Jeffrey tuRNER"/>
    <n v="85"/>
    <x v="1"/>
    <x v="3"/>
    <x v="1"/>
    <d v="2020-05-31T00:00:00"/>
    <s v="Matthew Carter"/>
    <s v="Kim Rosario, and Hammond"/>
    <x v="2"/>
    <n v="39957.94"/>
    <n v="211"/>
    <x v="0"/>
    <d v="2020-06-01T00:00:00"/>
    <s v="Ibuprofen"/>
    <x v="0"/>
    <n v="1"/>
    <x v="2"/>
    <s v="High"/>
    <n v="5"/>
    <x v="3"/>
    <s v="May"/>
  </r>
  <r>
    <s v="DR. LaUreN ClaRk DDs"/>
    <n v="19"/>
    <x v="0"/>
    <x v="6"/>
    <x v="0"/>
    <d v="2020-10-26T00:00:00"/>
    <s v="Brian Wagner"/>
    <s v="PLC Jimenez"/>
    <x v="3"/>
    <n v="49833.71"/>
    <n v="302"/>
    <x v="2"/>
    <d v="2020-11-17T00:00:00"/>
    <s v="Lipitor"/>
    <x v="1"/>
    <n v="22"/>
    <x v="0"/>
    <s v="High"/>
    <n v="10"/>
    <x v="3"/>
    <s v="October"/>
  </r>
  <r>
    <s v="terRY THoMaS"/>
    <n v="50"/>
    <x v="1"/>
    <x v="0"/>
    <x v="3"/>
    <d v="2021-06-03T00:00:00"/>
    <s v="Lucas Cole"/>
    <s v="Cantu-Berry"/>
    <x v="2"/>
    <n v="48175.47"/>
    <n v="368"/>
    <x v="0"/>
    <d v="2021-07-01T00:00:00"/>
    <s v="Paracetamol"/>
    <x v="1"/>
    <n v="28"/>
    <x v="3"/>
    <s v="High"/>
    <n v="6"/>
    <x v="5"/>
    <s v="June"/>
  </r>
  <r>
    <s v="JasOn baKEr"/>
    <n v="50"/>
    <x v="1"/>
    <x v="7"/>
    <x v="1"/>
    <d v="2020-10-24T00:00:00"/>
    <s v="Julia Yoder"/>
    <s v="Wright-Alexander"/>
    <x v="3"/>
    <n v="40133.97"/>
    <n v="130"/>
    <x v="0"/>
    <d v="2020-11-13T00:00:00"/>
    <s v="Ibuprofen"/>
    <x v="0"/>
    <n v="20"/>
    <x v="3"/>
    <s v="High"/>
    <n v="10"/>
    <x v="3"/>
    <s v="October"/>
  </r>
  <r>
    <s v="JEssicA gUtiERrEz"/>
    <n v="40"/>
    <x v="0"/>
    <x v="3"/>
    <x v="1"/>
    <d v="2019-08-27T00:00:00"/>
    <s v="Crystal Chavez"/>
    <s v="Guzman-Carlson"/>
    <x v="2"/>
    <n v="9585.9500000000007"/>
    <n v="424"/>
    <x v="0"/>
    <d v="2019-09-06T00:00:00"/>
    <s v="Lipitor"/>
    <x v="1"/>
    <n v="10"/>
    <x v="3"/>
    <s v="Low"/>
    <n v="8"/>
    <x v="1"/>
    <s v="August"/>
  </r>
  <r>
    <s v="COURTNey HOdGes"/>
    <n v="57"/>
    <x v="0"/>
    <x v="5"/>
    <x v="1"/>
    <d v="2021-11-30T00:00:00"/>
    <s v="Brenda Lopez"/>
    <s v="Meyer-Hill"/>
    <x v="1"/>
    <n v="40693.35"/>
    <n v="430"/>
    <x v="1"/>
    <d v="2021-12-09T00:00:00"/>
    <s v="Aspirin"/>
    <x v="2"/>
    <n v="9"/>
    <x v="1"/>
    <s v="High"/>
    <n v="11"/>
    <x v="5"/>
    <s v="November"/>
  </r>
  <r>
    <s v="ANthONy reYEs"/>
    <n v="82"/>
    <x v="0"/>
    <x v="4"/>
    <x v="1"/>
    <d v="2023-10-15T00:00:00"/>
    <s v="Michael Cole"/>
    <s v="Dudley-Atkinson"/>
    <x v="3"/>
    <n v="16399.27"/>
    <n v="133"/>
    <x v="1"/>
    <d v="2023-11-08T00:00:00"/>
    <s v="Penicillin"/>
    <x v="2"/>
    <n v="24"/>
    <x v="2"/>
    <s v="Medium"/>
    <n v="10"/>
    <x v="4"/>
    <s v="October"/>
  </r>
  <r>
    <s v="LeaH cRoSs Dds"/>
    <n v="20"/>
    <x v="0"/>
    <x v="4"/>
    <x v="2"/>
    <d v="2024-03-17T00:00:00"/>
    <s v="Michael Larson"/>
    <s v="Kelly-Allen"/>
    <x v="0"/>
    <n v="44939.57"/>
    <n v="430"/>
    <x v="1"/>
    <d v="2024-03-28T00:00:00"/>
    <s v="Ibuprofen"/>
    <x v="1"/>
    <n v="11"/>
    <x v="0"/>
    <s v="High"/>
    <n v="3"/>
    <x v="0"/>
    <s v="March"/>
  </r>
  <r>
    <s v="PaUL MaRTinEz"/>
    <n v="20"/>
    <x v="0"/>
    <x v="6"/>
    <x v="4"/>
    <d v="2019-10-13T00:00:00"/>
    <s v="Tracey Spence"/>
    <s v="Lewis Livingston, Lowe and"/>
    <x v="0"/>
    <n v="10663.91"/>
    <n v="104"/>
    <x v="1"/>
    <d v="2019-10-16T00:00:00"/>
    <s v="Aspirin"/>
    <x v="0"/>
    <n v="3"/>
    <x v="0"/>
    <s v="Medium"/>
    <n v="10"/>
    <x v="1"/>
    <s v="October"/>
  </r>
  <r>
    <s v="DenisE rOdRIGuEZ"/>
    <n v="19"/>
    <x v="1"/>
    <x v="2"/>
    <x v="4"/>
    <d v="2020-03-02T00:00:00"/>
    <s v="Susan Gibson"/>
    <s v="Rodriguez Ltd"/>
    <x v="4"/>
    <n v="22564.79"/>
    <n v="408"/>
    <x v="2"/>
    <d v="2020-03-07T00:00:00"/>
    <s v="Paracetamol"/>
    <x v="0"/>
    <n v="5"/>
    <x v="0"/>
    <s v="Medium"/>
    <n v="3"/>
    <x v="3"/>
    <s v="March"/>
  </r>
  <r>
    <s v="ashLEy ERIcKSoN"/>
    <n v="32"/>
    <x v="1"/>
    <x v="5"/>
    <x v="0"/>
    <d v="2019-11-05T00:00:00"/>
    <s v="Gerald Hooper"/>
    <s v="and Johnson Moore, Branch"/>
    <x v="2"/>
    <n v="-502.51"/>
    <n v="376"/>
    <x v="0"/>
    <d v="2019-11-23T00:00:00"/>
    <s v="Penicillin"/>
    <x v="0"/>
    <n v="18"/>
    <x v="0"/>
    <s v="Low"/>
    <n v="11"/>
    <x v="1"/>
    <s v="November"/>
  </r>
  <r>
    <s v="SEaN carDenaS"/>
    <n v="55"/>
    <x v="0"/>
    <x v="0"/>
    <x v="2"/>
    <d v="2021-02-07T00:00:00"/>
    <s v="Todd Sanchez"/>
    <s v="Holmes and Hughes, Phillips"/>
    <x v="4"/>
    <n v="34758.26"/>
    <n v="331"/>
    <x v="1"/>
    <d v="2021-03-05T00:00:00"/>
    <s v="Aspirin"/>
    <x v="0"/>
    <n v="26"/>
    <x v="3"/>
    <s v="High"/>
    <n v="2"/>
    <x v="5"/>
    <s v="February"/>
  </r>
  <r>
    <s v="aLaN AlVaREz"/>
    <n v="81"/>
    <x v="0"/>
    <x v="6"/>
    <x v="4"/>
    <d v="2021-10-25T00:00:00"/>
    <s v="Elizabeth Morales"/>
    <s v="and Smith, Tucker Cross"/>
    <x v="3"/>
    <n v="46377.87"/>
    <n v="275"/>
    <x v="0"/>
    <d v="2021-11-22T00:00:00"/>
    <s v="Lipitor"/>
    <x v="0"/>
    <n v="28"/>
    <x v="2"/>
    <s v="High"/>
    <n v="10"/>
    <x v="5"/>
    <s v="October"/>
  </r>
  <r>
    <s v="JeSsICA phiLliPS"/>
    <n v="26"/>
    <x v="0"/>
    <x v="7"/>
    <x v="4"/>
    <d v="2022-07-24T00:00:00"/>
    <s v="Kimberly Petersen"/>
    <s v="Sons and Lozano"/>
    <x v="0"/>
    <n v="7555.77"/>
    <n v="425"/>
    <x v="2"/>
    <d v="2022-07-31T00:00:00"/>
    <s v="Paracetamol"/>
    <x v="2"/>
    <n v="7"/>
    <x v="0"/>
    <s v="Low"/>
    <n v="7"/>
    <x v="2"/>
    <s v="July"/>
  </r>
  <r>
    <s v="tiMOthY CoLemaN"/>
    <n v="54"/>
    <x v="1"/>
    <x v="4"/>
    <x v="0"/>
    <d v="2020-03-04T00:00:00"/>
    <s v="Misty Garcia"/>
    <s v="Russell Ltd"/>
    <x v="3"/>
    <n v="14299.99"/>
    <n v="480"/>
    <x v="1"/>
    <d v="2020-03-05T00:00:00"/>
    <s v="Lipitor"/>
    <x v="2"/>
    <n v="1"/>
    <x v="3"/>
    <s v="Medium"/>
    <n v="3"/>
    <x v="3"/>
    <s v="March"/>
  </r>
  <r>
    <s v="cHristina wooDS"/>
    <n v="57"/>
    <x v="0"/>
    <x v="0"/>
    <x v="5"/>
    <d v="2021-08-01T00:00:00"/>
    <s v="Melissa Fernandez"/>
    <s v="Jones Ltd"/>
    <x v="4"/>
    <n v="46429.51"/>
    <n v="233"/>
    <x v="2"/>
    <d v="2021-08-19T00:00:00"/>
    <s v="Paracetamol"/>
    <x v="1"/>
    <n v="18"/>
    <x v="1"/>
    <s v="High"/>
    <n v="8"/>
    <x v="5"/>
    <s v="August"/>
  </r>
  <r>
    <s v="mELIssa sCOtt"/>
    <n v="38"/>
    <x v="1"/>
    <x v="4"/>
    <x v="3"/>
    <d v="2020-01-24T00:00:00"/>
    <s v="Kari Moore"/>
    <s v="Gordon-Ward"/>
    <x v="1"/>
    <n v="17978.95"/>
    <n v="384"/>
    <x v="2"/>
    <d v="2020-02-12T00:00:00"/>
    <s v="Ibuprofen"/>
    <x v="2"/>
    <n v="19"/>
    <x v="3"/>
    <s v="Medium"/>
    <n v="1"/>
    <x v="3"/>
    <s v="January"/>
  </r>
  <r>
    <s v="GaRy hoPkiNS"/>
    <n v="54"/>
    <x v="0"/>
    <x v="3"/>
    <x v="1"/>
    <d v="2021-07-30T00:00:00"/>
    <s v="David Hubbard"/>
    <s v="Barnes and Sons"/>
    <x v="1"/>
    <n v="32629.07"/>
    <n v="380"/>
    <x v="2"/>
    <d v="2021-08-13T00:00:00"/>
    <s v="Paracetamol"/>
    <x v="0"/>
    <n v="14"/>
    <x v="3"/>
    <s v="High"/>
    <n v="7"/>
    <x v="5"/>
    <s v="July"/>
  </r>
  <r>
    <s v="aPRIL VAleNCIA"/>
    <n v="42"/>
    <x v="0"/>
    <x v="1"/>
    <x v="2"/>
    <d v="2024-01-04T00:00:00"/>
    <s v="Lonnie Morgan"/>
    <s v="Levine-Miller"/>
    <x v="1"/>
    <n v="22356.23"/>
    <n v="310"/>
    <x v="0"/>
    <d v="2024-02-03T00:00:00"/>
    <s v="Aspirin"/>
    <x v="1"/>
    <n v="30"/>
    <x v="3"/>
    <s v="Medium"/>
    <n v="1"/>
    <x v="0"/>
    <s v="January"/>
  </r>
  <r>
    <s v="riTA archER"/>
    <n v="20"/>
    <x v="0"/>
    <x v="7"/>
    <x v="2"/>
    <d v="2024-01-05T00:00:00"/>
    <s v="Victoria Gonzales"/>
    <s v="and Marquez Silva Smith,"/>
    <x v="1"/>
    <n v="48995.98"/>
    <n v="406"/>
    <x v="2"/>
    <d v="2024-02-04T00:00:00"/>
    <s v="Lipitor"/>
    <x v="0"/>
    <n v="30"/>
    <x v="0"/>
    <s v="High"/>
    <n v="1"/>
    <x v="0"/>
    <s v="January"/>
  </r>
  <r>
    <s v="kIm PenA"/>
    <n v="44"/>
    <x v="1"/>
    <x v="7"/>
    <x v="4"/>
    <d v="2020-08-11T00:00:00"/>
    <s v="Cindy White"/>
    <s v="Jackson-Copeland"/>
    <x v="3"/>
    <n v="4532.4799999999996"/>
    <n v="213"/>
    <x v="1"/>
    <d v="2020-09-04T00:00:00"/>
    <s v="Lipitor"/>
    <x v="1"/>
    <n v="24"/>
    <x v="3"/>
    <s v="Low"/>
    <n v="8"/>
    <x v="3"/>
    <s v="August"/>
  </r>
  <r>
    <s v="jaSoN FOlEy"/>
    <n v="54"/>
    <x v="0"/>
    <x v="6"/>
    <x v="2"/>
    <d v="2022-06-17T00:00:00"/>
    <s v="Douglas Li"/>
    <s v="Perez and Ochoa White,"/>
    <x v="1"/>
    <n v="35521.58"/>
    <n v="130"/>
    <x v="2"/>
    <d v="2022-06-24T00:00:00"/>
    <s v="Paracetamol"/>
    <x v="0"/>
    <n v="7"/>
    <x v="3"/>
    <s v="High"/>
    <n v="6"/>
    <x v="2"/>
    <s v="June"/>
  </r>
  <r>
    <s v="ShAUN GuzmAn"/>
    <n v="21"/>
    <x v="1"/>
    <x v="5"/>
    <x v="5"/>
    <d v="2022-04-02T00:00:00"/>
    <s v="Lori Mendoza"/>
    <s v="Ltd Conrad"/>
    <x v="2"/>
    <n v="1589.5"/>
    <n v="244"/>
    <x v="1"/>
    <d v="2022-04-09T00:00:00"/>
    <s v="Aspirin"/>
    <x v="1"/>
    <n v="7"/>
    <x v="0"/>
    <s v="Low"/>
    <n v="4"/>
    <x v="2"/>
    <s v="April"/>
  </r>
  <r>
    <s v="MATTHeW wHite"/>
    <n v="45"/>
    <x v="1"/>
    <x v="4"/>
    <x v="2"/>
    <d v="2020-06-03T00:00:00"/>
    <s v="Ryan Ross"/>
    <s v="Hampton-Thomas"/>
    <x v="1"/>
    <n v="22950.65"/>
    <n v="233"/>
    <x v="2"/>
    <d v="2020-06-22T00:00:00"/>
    <s v="Ibuprofen"/>
    <x v="2"/>
    <n v="19"/>
    <x v="3"/>
    <s v="Medium"/>
    <n v="6"/>
    <x v="3"/>
    <s v="June"/>
  </r>
  <r>
    <s v="aLExiS wilsOn"/>
    <n v="68"/>
    <x v="1"/>
    <x v="6"/>
    <x v="5"/>
    <d v="2019-08-16T00:00:00"/>
    <s v="Brian Walton"/>
    <s v="Thomas-Kelley"/>
    <x v="2"/>
    <n v="2678.95"/>
    <n v="427"/>
    <x v="0"/>
    <d v="2019-08-21T00:00:00"/>
    <s v="Paracetamol"/>
    <x v="2"/>
    <n v="5"/>
    <x v="1"/>
    <s v="Low"/>
    <n v="8"/>
    <x v="1"/>
    <s v="August"/>
  </r>
  <r>
    <s v="JaCQueLiNE maRshAll"/>
    <n v="27"/>
    <x v="0"/>
    <x v="1"/>
    <x v="4"/>
    <d v="2024-02-22T00:00:00"/>
    <s v="Michael Berg"/>
    <s v="Myers-Monroe"/>
    <x v="3"/>
    <n v="39615.599999999999"/>
    <n v="500"/>
    <x v="0"/>
    <d v="2024-02-24T00:00:00"/>
    <s v="Penicillin"/>
    <x v="1"/>
    <n v="2"/>
    <x v="0"/>
    <s v="High"/>
    <n v="2"/>
    <x v="0"/>
    <s v="February"/>
  </r>
  <r>
    <s v="RoBErt hIGGInS"/>
    <n v="42"/>
    <x v="0"/>
    <x v="5"/>
    <x v="3"/>
    <d v="2021-05-06T00:00:00"/>
    <s v="Scott Davis"/>
    <s v="and Ford Lee, Rodriguez"/>
    <x v="1"/>
    <n v="13355.78"/>
    <n v="451"/>
    <x v="2"/>
    <d v="2021-05-29T00:00:00"/>
    <s v="Ibuprofen"/>
    <x v="1"/>
    <n v="23"/>
    <x v="3"/>
    <s v="Medium"/>
    <n v="5"/>
    <x v="5"/>
    <s v="May"/>
  </r>
  <r>
    <s v="SierRa MoRTON"/>
    <n v="27"/>
    <x v="1"/>
    <x v="0"/>
    <x v="3"/>
    <d v="2021-10-27T00:00:00"/>
    <s v="Daniel Shelton"/>
    <s v="Sons Garcia and"/>
    <x v="2"/>
    <n v="32561.53"/>
    <n v="485"/>
    <x v="2"/>
    <d v="2021-11-04T00:00:00"/>
    <s v="Ibuprofen"/>
    <x v="1"/>
    <n v="8"/>
    <x v="0"/>
    <s v="High"/>
    <n v="10"/>
    <x v="5"/>
    <s v="October"/>
  </r>
  <r>
    <s v="nATAliE sTANtoN"/>
    <n v="80"/>
    <x v="0"/>
    <x v="6"/>
    <x v="3"/>
    <d v="2020-09-01T00:00:00"/>
    <s v="Tara Moreno"/>
    <s v="Perry Little, and Moore"/>
    <x v="1"/>
    <n v="29221.34"/>
    <n v="208"/>
    <x v="1"/>
    <d v="2020-09-17T00:00:00"/>
    <s v="Paracetamol"/>
    <x v="1"/>
    <n v="16"/>
    <x v="2"/>
    <s v="Medium"/>
    <n v="9"/>
    <x v="3"/>
    <s v="September"/>
  </r>
  <r>
    <s v="jEssica aceveDo"/>
    <n v="21"/>
    <x v="0"/>
    <x v="3"/>
    <x v="2"/>
    <d v="2021-05-26T00:00:00"/>
    <s v="Kristie Morgan"/>
    <s v="Anderson Group"/>
    <x v="1"/>
    <n v="12880.65"/>
    <n v="267"/>
    <x v="0"/>
    <d v="2021-06-22T00:00:00"/>
    <s v="Penicillin"/>
    <x v="0"/>
    <n v="27"/>
    <x v="0"/>
    <s v="Medium"/>
    <n v="5"/>
    <x v="5"/>
    <s v="May"/>
  </r>
  <r>
    <s v="JENnIfEr mCmillan"/>
    <n v="84"/>
    <x v="1"/>
    <x v="2"/>
    <x v="1"/>
    <d v="2022-06-22T00:00:00"/>
    <s v="Joseph Jones"/>
    <s v="Rodriguez and Sons"/>
    <x v="2"/>
    <n v="15475.4"/>
    <n v="154"/>
    <x v="2"/>
    <d v="2022-07-22T00:00:00"/>
    <s v="Ibuprofen"/>
    <x v="2"/>
    <n v="30"/>
    <x v="2"/>
    <s v="Medium"/>
    <n v="6"/>
    <x v="2"/>
    <s v="June"/>
  </r>
  <r>
    <s v="ChRISTopher mccLAiN"/>
    <n v="67"/>
    <x v="1"/>
    <x v="7"/>
    <x v="5"/>
    <d v="2023-05-17T00:00:00"/>
    <s v="Maria Tran"/>
    <s v="Thomas-Huber"/>
    <x v="1"/>
    <n v="27309.439999999999"/>
    <n v="293"/>
    <x v="2"/>
    <d v="2023-05-31T00:00:00"/>
    <s v="Aspirin"/>
    <x v="2"/>
    <n v="14"/>
    <x v="1"/>
    <s v="Medium"/>
    <n v="5"/>
    <x v="4"/>
    <s v="May"/>
  </r>
  <r>
    <s v="kevIn HiCKs"/>
    <n v="66"/>
    <x v="0"/>
    <x v="4"/>
    <x v="5"/>
    <d v="2021-06-23T00:00:00"/>
    <s v="Kelly Murphy"/>
    <s v="Robinson Inc"/>
    <x v="1"/>
    <n v="1897.89"/>
    <n v="196"/>
    <x v="2"/>
    <d v="2021-07-09T00:00:00"/>
    <s v="Ibuprofen"/>
    <x v="2"/>
    <n v="16"/>
    <x v="1"/>
    <s v="Low"/>
    <n v="6"/>
    <x v="5"/>
    <s v="June"/>
  </r>
  <r>
    <s v="MELIndA richARds"/>
    <n v="37"/>
    <x v="1"/>
    <x v="2"/>
    <x v="0"/>
    <d v="2023-11-17T00:00:00"/>
    <s v="Katherine Brown"/>
    <s v="Wood-Mathews"/>
    <x v="2"/>
    <n v="31308.21"/>
    <n v="466"/>
    <x v="0"/>
    <d v="2023-11-25T00:00:00"/>
    <s v="Penicillin"/>
    <x v="0"/>
    <n v="8"/>
    <x v="3"/>
    <s v="High"/>
    <n v="11"/>
    <x v="4"/>
    <s v="November"/>
  </r>
  <r>
    <s v="roBYn miRaNDa"/>
    <n v="30"/>
    <x v="1"/>
    <x v="2"/>
    <x v="2"/>
    <d v="2020-10-11T00:00:00"/>
    <s v="Elizabeth Frank"/>
    <s v="Walker and Gardner Fernandez,"/>
    <x v="1"/>
    <n v="42792.24"/>
    <n v="468"/>
    <x v="2"/>
    <d v="2020-10-21T00:00:00"/>
    <s v="Ibuprofen"/>
    <x v="2"/>
    <n v="10"/>
    <x v="0"/>
    <s v="High"/>
    <n v="10"/>
    <x v="3"/>
    <s v="October"/>
  </r>
  <r>
    <s v="scoTt caSTillO"/>
    <n v="78"/>
    <x v="0"/>
    <x v="3"/>
    <x v="2"/>
    <d v="2021-08-10T00:00:00"/>
    <s v="Alyssa Edwards"/>
    <s v="Smith and Johnston, Collins"/>
    <x v="4"/>
    <n v="14377.33"/>
    <n v="114"/>
    <x v="1"/>
    <d v="2021-08-27T00:00:00"/>
    <s v="Penicillin"/>
    <x v="2"/>
    <n v="17"/>
    <x v="2"/>
    <s v="Medium"/>
    <n v="8"/>
    <x v="5"/>
    <s v="August"/>
  </r>
  <r>
    <s v="jOHN GarciA"/>
    <n v="39"/>
    <x v="1"/>
    <x v="1"/>
    <x v="2"/>
    <d v="2023-08-29T00:00:00"/>
    <s v="Jesse Thomas"/>
    <s v="Sons Miller and"/>
    <x v="3"/>
    <n v="1150.8699999999999"/>
    <n v="408"/>
    <x v="0"/>
    <d v="2023-09-07T00:00:00"/>
    <s v="Penicillin"/>
    <x v="2"/>
    <n v="9"/>
    <x v="3"/>
    <s v="Low"/>
    <n v="8"/>
    <x v="4"/>
    <s v="August"/>
  </r>
  <r>
    <s v="miCHAeL TayloR"/>
    <n v="29"/>
    <x v="0"/>
    <x v="7"/>
    <x v="3"/>
    <d v="2020-02-27T00:00:00"/>
    <s v="Erica Mccormick"/>
    <s v="Donaldson-Frey"/>
    <x v="1"/>
    <n v="41939.120000000003"/>
    <n v="453"/>
    <x v="2"/>
    <d v="2020-03-26T00:00:00"/>
    <s v="Ibuprofen"/>
    <x v="0"/>
    <n v="28"/>
    <x v="0"/>
    <s v="High"/>
    <n v="2"/>
    <x v="3"/>
    <s v="February"/>
  </r>
  <r>
    <s v="jeFfReY WoOd"/>
    <n v="81"/>
    <x v="1"/>
    <x v="5"/>
    <x v="0"/>
    <d v="2021-07-07T00:00:00"/>
    <s v="Amber Holmes"/>
    <s v="Brown-Yoder"/>
    <x v="3"/>
    <n v="41982.37"/>
    <n v="261"/>
    <x v="2"/>
    <d v="2021-07-15T00:00:00"/>
    <s v="Aspirin"/>
    <x v="2"/>
    <n v="8"/>
    <x v="2"/>
    <s v="High"/>
    <n v="7"/>
    <x v="5"/>
    <s v="July"/>
  </r>
  <r>
    <s v="MiCHAEl smIth"/>
    <n v="66"/>
    <x v="1"/>
    <x v="5"/>
    <x v="1"/>
    <d v="2022-06-03T00:00:00"/>
    <s v="Austin Jackson"/>
    <s v="Morgan Rios and Keller,"/>
    <x v="4"/>
    <n v="33861.019999999997"/>
    <n v="115"/>
    <x v="2"/>
    <d v="2022-06-27T00:00:00"/>
    <s v="Aspirin"/>
    <x v="0"/>
    <n v="24"/>
    <x v="1"/>
    <s v="High"/>
    <n v="6"/>
    <x v="2"/>
    <s v="June"/>
  </r>
  <r>
    <s v="wiLLiam grIFfItH"/>
    <n v="65"/>
    <x v="0"/>
    <x v="0"/>
    <x v="3"/>
    <d v="2020-02-20T00:00:00"/>
    <s v="Shane Morris"/>
    <s v="Gonzalez-King"/>
    <x v="2"/>
    <n v="49321.16"/>
    <n v="167"/>
    <x v="1"/>
    <d v="2020-03-01T00:00:00"/>
    <s v="Penicillin"/>
    <x v="2"/>
    <n v="10"/>
    <x v="1"/>
    <s v="High"/>
    <n v="2"/>
    <x v="3"/>
    <s v="February"/>
  </r>
  <r>
    <s v="CHrISTiNa lAwReNCe"/>
    <n v="80"/>
    <x v="0"/>
    <x v="5"/>
    <x v="3"/>
    <d v="2021-02-05T00:00:00"/>
    <s v="Brent Smith"/>
    <s v="Wagner Ltd"/>
    <x v="4"/>
    <n v="47433.279999999999"/>
    <n v="179"/>
    <x v="2"/>
    <d v="2021-03-05T00:00:00"/>
    <s v="Penicillin"/>
    <x v="1"/>
    <n v="28"/>
    <x v="2"/>
    <s v="High"/>
    <n v="2"/>
    <x v="5"/>
    <s v="February"/>
  </r>
  <r>
    <s v="jeSsiCA HolmeS"/>
    <n v="72"/>
    <x v="1"/>
    <x v="7"/>
    <x v="5"/>
    <d v="2020-10-24T00:00:00"/>
    <s v="Kayla Davis"/>
    <s v="and Brown White, Jones"/>
    <x v="1"/>
    <n v="19065.060000000001"/>
    <n v="490"/>
    <x v="1"/>
    <d v="2020-11-02T00:00:00"/>
    <s v="Paracetamol"/>
    <x v="2"/>
    <n v="9"/>
    <x v="2"/>
    <s v="Medium"/>
    <n v="10"/>
    <x v="3"/>
    <s v="October"/>
  </r>
  <r>
    <s v="traCEY grEenE"/>
    <n v="85"/>
    <x v="0"/>
    <x v="7"/>
    <x v="0"/>
    <d v="2023-12-06T00:00:00"/>
    <s v="Rose Zuniga"/>
    <s v="James-Smith"/>
    <x v="4"/>
    <n v="50142.03"/>
    <n v="258"/>
    <x v="2"/>
    <d v="2023-12-19T00:00:00"/>
    <s v="Ibuprofen"/>
    <x v="2"/>
    <n v="13"/>
    <x v="2"/>
    <s v="High"/>
    <n v="12"/>
    <x v="4"/>
    <s v="December"/>
  </r>
  <r>
    <s v="aMAnda lOpeZ"/>
    <n v="68"/>
    <x v="1"/>
    <x v="3"/>
    <x v="4"/>
    <d v="2021-12-21T00:00:00"/>
    <s v="Ethan Wagner"/>
    <s v="Hanson Group"/>
    <x v="2"/>
    <n v="12081.68"/>
    <n v="483"/>
    <x v="0"/>
    <d v="2021-12-30T00:00:00"/>
    <s v="Lipitor"/>
    <x v="2"/>
    <n v="9"/>
    <x v="1"/>
    <s v="Medium"/>
    <n v="12"/>
    <x v="5"/>
    <s v="December"/>
  </r>
  <r>
    <s v="LaurA pEtErS"/>
    <n v="56"/>
    <x v="1"/>
    <x v="2"/>
    <x v="0"/>
    <d v="2023-09-03T00:00:00"/>
    <s v="Phillip Williams"/>
    <s v="Mcclain-Reed"/>
    <x v="2"/>
    <n v="18030.79"/>
    <n v="273"/>
    <x v="2"/>
    <d v="2023-09-30T00:00:00"/>
    <s v="Lipitor"/>
    <x v="1"/>
    <n v="27"/>
    <x v="1"/>
    <s v="Medium"/>
    <n v="9"/>
    <x v="4"/>
    <s v="September"/>
  </r>
  <r>
    <s v="LAUrEn ANDErSOn"/>
    <n v="53"/>
    <x v="1"/>
    <x v="7"/>
    <x v="3"/>
    <d v="2020-10-18T00:00:00"/>
    <s v="Maureen Hill"/>
    <s v="Young-Smith"/>
    <x v="1"/>
    <n v="5142.16"/>
    <n v="120"/>
    <x v="2"/>
    <d v="2020-11-10T00:00:00"/>
    <s v="Paracetamol"/>
    <x v="2"/>
    <n v="23"/>
    <x v="3"/>
    <s v="Low"/>
    <n v="10"/>
    <x v="3"/>
    <s v="October"/>
  </r>
  <r>
    <s v="wILliAm CAmpos"/>
    <n v="37"/>
    <x v="1"/>
    <x v="6"/>
    <x v="3"/>
    <d v="2021-07-07T00:00:00"/>
    <s v="Heidi Compton MD"/>
    <s v="Hart-Brock"/>
    <x v="3"/>
    <n v="19851.240000000002"/>
    <n v="202"/>
    <x v="2"/>
    <d v="2021-07-24T00:00:00"/>
    <s v="Penicillin"/>
    <x v="0"/>
    <n v="17"/>
    <x v="3"/>
    <s v="Medium"/>
    <n v="7"/>
    <x v="5"/>
    <s v="July"/>
  </r>
  <r>
    <s v="jEssiCa GoNzAleS"/>
    <n v="57"/>
    <x v="1"/>
    <x v="3"/>
    <x v="4"/>
    <d v="2023-08-28T00:00:00"/>
    <s v="Kimberly Gonzalez"/>
    <s v="Jones and Jones, Turner"/>
    <x v="4"/>
    <n v="20545.87"/>
    <n v="198"/>
    <x v="0"/>
    <d v="2023-09-16T00:00:00"/>
    <s v="Penicillin"/>
    <x v="2"/>
    <n v="19"/>
    <x v="1"/>
    <s v="Medium"/>
    <n v="8"/>
    <x v="4"/>
    <s v="August"/>
  </r>
  <r>
    <s v="brUcE gOnzaleS"/>
    <n v="36"/>
    <x v="0"/>
    <x v="3"/>
    <x v="5"/>
    <d v="2019-11-17T00:00:00"/>
    <s v="Rebecca Morgan"/>
    <s v="Spears-Shah"/>
    <x v="4"/>
    <n v="36869.730000000003"/>
    <n v="368"/>
    <x v="0"/>
    <d v="2019-12-01T00:00:00"/>
    <s v="Penicillin"/>
    <x v="0"/>
    <n v="14"/>
    <x v="3"/>
    <s v="High"/>
    <n v="11"/>
    <x v="1"/>
    <s v="November"/>
  </r>
  <r>
    <s v="rOBert WAlsH"/>
    <n v="20"/>
    <x v="1"/>
    <x v="6"/>
    <x v="0"/>
    <d v="2020-11-22T00:00:00"/>
    <s v="Sabrina Rogers"/>
    <s v="and Anderson Smith Sanchez,"/>
    <x v="4"/>
    <n v="40598.42"/>
    <n v="113"/>
    <x v="2"/>
    <d v="2020-12-17T00:00:00"/>
    <s v="Paracetamol"/>
    <x v="0"/>
    <n v="25"/>
    <x v="0"/>
    <s v="High"/>
    <n v="11"/>
    <x v="3"/>
    <s v="November"/>
  </r>
  <r>
    <s v="lIsA LeWis"/>
    <n v="83"/>
    <x v="0"/>
    <x v="7"/>
    <x v="3"/>
    <d v="2021-11-13T00:00:00"/>
    <s v="Kevin Brown"/>
    <s v="Tran, and Ferrell Garcia"/>
    <x v="2"/>
    <n v="18198.060000000001"/>
    <n v="308"/>
    <x v="0"/>
    <d v="2021-12-08T00:00:00"/>
    <s v="Ibuprofen"/>
    <x v="0"/>
    <n v="25"/>
    <x v="2"/>
    <s v="Medium"/>
    <n v="11"/>
    <x v="5"/>
    <s v="November"/>
  </r>
  <r>
    <s v="WiLlIaM RUiZ"/>
    <n v="79"/>
    <x v="0"/>
    <x v="6"/>
    <x v="1"/>
    <d v="2022-02-13T00:00:00"/>
    <s v="Sarah Cole"/>
    <s v="Ltd Walton"/>
    <x v="0"/>
    <n v="4920.04"/>
    <n v="278"/>
    <x v="2"/>
    <d v="2022-02-20T00:00:00"/>
    <s v="Paracetamol"/>
    <x v="0"/>
    <n v="7"/>
    <x v="2"/>
    <s v="Low"/>
    <n v="2"/>
    <x v="2"/>
    <s v="February"/>
  </r>
  <r>
    <s v="StEven BALdWIn"/>
    <n v="62"/>
    <x v="0"/>
    <x v="3"/>
    <x v="2"/>
    <d v="2019-05-16T00:00:00"/>
    <s v="Jennifer Hall"/>
    <s v="Group Rodriguez"/>
    <x v="3"/>
    <n v="3864.14"/>
    <n v="103"/>
    <x v="0"/>
    <d v="2019-05-31T00:00:00"/>
    <s v="Aspirin"/>
    <x v="1"/>
    <n v="15"/>
    <x v="1"/>
    <s v="Low"/>
    <n v="5"/>
    <x v="1"/>
    <s v="May"/>
  </r>
  <r>
    <s v="meGAn CoLON"/>
    <n v="38"/>
    <x v="0"/>
    <x v="4"/>
    <x v="3"/>
    <d v="2021-08-04T00:00:00"/>
    <s v="Emily Cruz"/>
    <s v="Carr LLC"/>
    <x v="0"/>
    <n v="21562.86"/>
    <n v="400"/>
    <x v="0"/>
    <d v="2021-08-26T00:00:00"/>
    <s v="Paracetamol"/>
    <x v="0"/>
    <n v="22"/>
    <x v="3"/>
    <s v="Medium"/>
    <n v="8"/>
    <x v="5"/>
    <s v="August"/>
  </r>
  <r>
    <s v="kImbErlY brOoks"/>
    <n v="75"/>
    <x v="1"/>
    <x v="0"/>
    <x v="0"/>
    <d v="2020-01-03T00:00:00"/>
    <s v="Michael Anderson"/>
    <s v="Rodriguez-Guerra"/>
    <x v="1"/>
    <n v="11815.2"/>
    <n v="401"/>
    <x v="2"/>
    <d v="2020-01-27T00:00:00"/>
    <s v="Ibuprofen"/>
    <x v="2"/>
    <n v="24"/>
    <x v="2"/>
    <s v="Medium"/>
    <n v="1"/>
    <x v="3"/>
    <s v="January"/>
  </r>
  <r>
    <s v="EdWARd SMiTh jR."/>
    <n v="28"/>
    <x v="0"/>
    <x v="1"/>
    <x v="4"/>
    <d v="2022-09-13T00:00:00"/>
    <s v="Natalie Sellers"/>
    <s v="Sullivan Mullins, Macias and"/>
    <x v="4"/>
    <n v="25796.87"/>
    <n v="258"/>
    <x v="0"/>
    <d v="2022-10-07T00:00:00"/>
    <s v="Lipitor"/>
    <x v="2"/>
    <n v="24"/>
    <x v="0"/>
    <s v="Medium"/>
    <n v="9"/>
    <x v="2"/>
    <s v="September"/>
  </r>
  <r>
    <s v="aLliSoN CorDoVA"/>
    <n v="36"/>
    <x v="0"/>
    <x v="7"/>
    <x v="4"/>
    <d v="2020-12-19T00:00:00"/>
    <s v="Patrick Ochoa"/>
    <s v="Ballard PLC"/>
    <x v="3"/>
    <n v="4266.78"/>
    <n v="268"/>
    <x v="1"/>
    <d v="2021-01-09T00:00:00"/>
    <s v="Lipitor"/>
    <x v="0"/>
    <n v="21"/>
    <x v="3"/>
    <s v="Low"/>
    <n v="12"/>
    <x v="3"/>
    <s v="December"/>
  </r>
  <r>
    <s v="lINdA THOMAs"/>
    <n v="54"/>
    <x v="0"/>
    <x v="4"/>
    <x v="1"/>
    <d v="2023-03-31T00:00:00"/>
    <s v="Daniel Rodgers"/>
    <s v="Liu-Wilson"/>
    <x v="4"/>
    <n v="4751.16"/>
    <n v="192"/>
    <x v="0"/>
    <d v="2023-04-29T00:00:00"/>
    <s v="Penicillin"/>
    <x v="1"/>
    <n v="29"/>
    <x v="3"/>
    <s v="Low"/>
    <n v="3"/>
    <x v="4"/>
    <s v="March"/>
  </r>
  <r>
    <s v="paRkEr moOrE"/>
    <n v="81"/>
    <x v="1"/>
    <x v="0"/>
    <x v="2"/>
    <d v="2020-05-08T00:00:00"/>
    <s v="Taylor Baldwin"/>
    <s v="LLC Lewis"/>
    <x v="2"/>
    <n v="17968.5"/>
    <n v="285"/>
    <x v="1"/>
    <d v="2020-05-28T00:00:00"/>
    <s v="Lipitor"/>
    <x v="1"/>
    <n v="20"/>
    <x v="2"/>
    <s v="Medium"/>
    <n v="5"/>
    <x v="3"/>
    <s v="May"/>
  </r>
  <r>
    <s v="tanya SOto"/>
    <n v="56"/>
    <x v="1"/>
    <x v="4"/>
    <x v="1"/>
    <d v="2023-07-31T00:00:00"/>
    <s v="Adam Ross"/>
    <s v="Stokes Chambers and Martin,"/>
    <x v="4"/>
    <n v="11311.33"/>
    <n v="302"/>
    <x v="0"/>
    <d v="2023-08-02T00:00:00"/>
    <s v="Lipitor"/>
    <x v="0"/>
    <n v="2"/>
    <x v="1"/>
    <s v="Medium"/>
    <n v="7"/>
    <x v="4"/>
    <s v="July"/>
  </r>
  <r>
    <s v="mIChaEL jOrdaN"/>
    <n v="30"/>
    <x v="0"/>
    <x v="5"/>
    <x v="4"/>
    <d v="2022-01-09T00:00:00"/>
    <s v="Amy Williams"/>
    <s v="Hernandez-Green"/>
    <x v="0"/>
    <n v="47242.22"/>
    <n v="418"/>
    <x v="1"/>
    <d v="2022-01-12T00:00:00"/>
    <s v="Ibuprofen"/>
    <x v="1"/>
    <n v="3"/>
    <x v="0"/>
    <s v="High"/>
    <n v="1"/>
    <x v="2"/>
    <s v="January"/>
  </r>
  <r>
    <s v="ChRiSTINA MArTin"/>
    <n v="64"/>
    <x v="1"/>
    <x v="2"/>
    <x v="2"/>
    <d v="2023-12-16T00:00:00"/>
    <s v="Martha Graham"/>
    <s v="Inc Lee"/>
    <x v="4"/>
    <n v="17670.509999999998"/>
    <n v="128"/>
    <x v="2"/>
    <d v="2024-01-15T00:00:00"/>
    <s v="Paracetamol"/>
    <x v="1"/>
    <n v="30"/>
    <x v="1"/>
    <s v="Medium"/>
    <n v="12"/>
    <x v="4"/>
    <s v="December"/>
  </r>
  <r>
    <s v="TrACy BUrke"/>
    <n v="76"/>
    <x v="0"/>
    <x v="1"/>
    <x v="1"/>
    <d v="2020-12-05T00:00:00"/>
    <s v="Emily Thomas"/>
    <s v="Wilkins Group"/>
    <x v="1"/>
    <n v="5714.75"/>
    <n v="238"/>
    <x v="2"/>
    <d v="2020-12-18T00:00:00"/>
    <s v="Lipitor"/>
    <x v="2"/>
    <n v="13"/>
    <x v="2"/>
    <s v="Low"/>
    <n v="12"/>
    <x v="3"/>
    <s v="December"/>
  </r>
  <r>
    <s v="daVID SPeNCE"/>
    <n v="21"/>
    <x v="1"/>
    <x v="4"/>
    <x v="2"/>
    <d v="2021-11-11T00:00:00"/>
    <s v="Terrance Rosales"/>
    <s v="Valentine Ltd"/>
    <x v="4"/>
    <n v="5985.98"/>
    <n v="136"/>
    <x v="0"/>
    <d v="2021-12-04T00:00:00"/>
    <s v="Penicillin"/>
    <x v="0"/>
    <n v="23"/>
    <x v="0"/>
    <s v="Low"/>
    <n v="11"/>
    <x v="5"/>
    <s v="November"/>
  </r>
  <r>
    <s v="JOsEph fOstER"/>
    <n v="59"/>
    <x v="1"/>
    <x v="3"/>
    <x v="1"/>
    <d v="2019-09-11T00:00:00"/>
    <s v="Daniel Smith"/>
    <s v="Alvarado-Deleon"/>
    <x v="0"/>
    <n v="27385.74"/>
    <n v="427"/>
    <x v="1"/>
    <d v="2019-09-15T00:00:00"/>
    <s v="Penicillin"/>
    <x v="1"/>
    <n v="4"/>
    <x v="1"/>
    <s v="Medium"/>
    <n v="9"/>
    <x v="1"/>
    <s v="September"/>
  </r>
  <r>
    <s v="NIcholAs haLl"/>
    <n v="31"/>
    <x v="1"/>
    <x v="2"/>
    <x v="2"/>
    <d v="2020-12-15T00:00:00"/>
    <s v="Marissa Stevenson"/>
    <s v="Alexander and Jensen Andrews,"/>
    <x v="3"/>
    <n v="3730"/>
    <n v="218"/>
    <x v="0"/>
    <d v="2021-01-01T00:00:00"/>
    <s v="Ibuprofen"/>
    <x v="2"/>
    <n v="17"/>
    <x v="0"/>
    <s v="Low"/>
    <n v="12"/>
    <x v="3"/>
    <s v="December"/>
  </r>
  <r>
    <s v="ChriSTiNA maCiAS"/>
    <n v="36"/>
    <x v="1"/>
    <x v="3"/>
    <x v="3"/>
    <d v="2022-12-08T00:00:00"/>
    <s v="Katie Fitzpatrick"/>
    <s v="and Black, Henson Rhodes"/>
    <x v="0"/>
    <n v="22480.97"/>
    <n v="348"/>
    <x v="2"/>
    <d v="2023-01-02T00:00:00"/>
    <s v="Ibuprofen"/>
    <x v="1"/>
    <n v="25"/>
    <x v="3"/>
    <s v="Medium"/>
    <n v="12"/>
    <x v="2"/>
    <s v="December"/>
  </r>
  <r>
    <s v="scoTT JoNes"/>
    <n v="42"/>
    <x v="1"/>
    <x v="6"/>
    <x v="2"/>
    <d v="2021-07-15T00:00:00"/>
    <s v="Dennis Small"/>
    <s v="Sons and Marshall"/>
    <x v="2"/>
    <n v="35022.32"/>
    <n v="486"/>
    <x v="2"/>
    <d v="2021-08-05T00:00:00"/>
    <s v="Aspirin"/>
    <x v="1"/>
    <n v="21"/>
    <x v="3"/>
    <s v="High"/>
    <n v="7"/>
    <x v="5"/>
    <s v="July"/>
  </r>
  <r>
    <s v="jaMEs AnDerSon"/>
    <n v="18"/>
    <x v="1"/>
    <x v="4"/>
    <x v="3"/>
    <d v="2022-06-16T00:00:00"/>
    <s v="Chris Holt"/>
    <s v="Rodriguez-Franco"/>
    <x v="0"/>
    <n v="45072.42"/>
    <n v="147"/>
    <x v="0"/>
    <d v="2022-07-04T00:00:00"/>
    <s v="Lipitor"/>
    <x v="1"/>
    <n v="18"/>
    <x v="0"/>
    <s v="High"/>
    <n v="6"/>
    <x v="2"/>
    <s v="June"/>
  </r>
  <r>
    <s v="sHaUN LonG"/>
    <n v="62"/>
    <x v="1"/>
    <x v="1"/>
    <x v="1"/>
    <d v="2024-02-09T00:00:00"/>
    <s v="Jenny Griffith"/>
    <s v="Fritz Henderson Stanton, and"/>
    <x v="3"/>
    <n v="45902.71"/>
    <n v="126"/>
    <x v="0"/>
    <d v="2024-02-19T00:00:00"/>
    <s v="Aspirin"/>
    <x v="0"/>
    <n v="10"/>
    <x v="1"/>
    <s v="High"/>
    <n v="2"/>
    <x v="0"/>
    <s v="February"/>
  </r>
  <r>
    <s v="krIStInA morA"/>
    <n v="53"/>
    <x v="0"/>
    <x v="4"/>
    <x v="4"/>
    <d v="2024-03-04T00:00:00"/>
    <s v="Gregory Lambert"/>
    <s v="West-Young"/>
    <x v="1"/>
    <n v="28899.19"/>
    <n v="314"/>
    <x v="1"/>
    <d v="2024-03-18T00:00:00"/>
    <s v="Paracetamol"/>
    <x v="2"/>
    <n v="14"/>
    <x v="3"/>
    <s v="Medium"/>
    <n v="3"/>
    <x v="0"/>
    <s v="March"/>
  </r>
  <r>
    <s v="joshUa rIcHmOnd"/>
    <n v="82"/>
    <x v="1"/>
    <x v="1"/>
    <x v="1"/>
    <d v="2022-02-11T00:00:00"/>
    <s v="Michael Armstrong"/>
    <s v="Ltd Solis"/>
    <x v="0"/>
    <n v="39003.18"/>
    <n v="133"/>
    <x v="2"/>
    <d v="2022-02-25T00:00:00"/>
    <s v="Lipitor"/>
    <x v="0"/>
    <n v="14"/>
    <x v="2"/>
    <s v="High"/>
    <n v="2"/>
    <x v="2"/>
    <s v="February"/>
  </r>
  <r>
    <s v="Mark lAWrencE"/>
    <n v="19"/>
    <x v="1"/>
    <x v="7"/>
    <x v="2"/>
    <d v="2022-02-08T00:00:00"/>
    <s v="Melissa Terry"/>
    <s v="Mcneil-Blake"/>
    <x v="0"/>
    <n v="10348.82"/>
    <n v="271"/>
    <x v="1"/>
    <d v="2022-02-17T00:00:00"/>
    <s v="Ibuprofen"/>
    <x v="1"/>
    <n v="9"/>
    <x v="0"/>
    <s v="Medium"/>
    <n v="2"/>
    <x v="2"/>
    <s v="February"/>
  </r>
  <r>
    <s v="JOhN eLlis"/>
    <n v="83"/>
    <x v="1"/>
    <x v="2"/>
    <x v="4"/>
    <d v="2023-06-15T00:00:00"/>
    <s v="Thomas Bruce"/>
    <s v="Moore-Waters"/>
    <x v="3"/>
    <n v="14371.54"/>
    <n v="341"/>
    <x v="0"/>
    <d v="2023-06-30T00:00:00"/>
    <s v="Paracetamol"/>
    <x v="1"/>
    <n v="15"/>
    <x v="2"/>
    <s v="Medium"/>
    <n v="6"/>
    <x v="4"/>
    <s v="June"/>
  </r>
  <r>
    <s v="MRs. TiFFAny DeNnIs"/>
    <n v="26"/>
    <x v="0"/>
    <x v="7"/>
    <x v="2"/>
    <d v="2021-10-11T00:00:00"/>
    <s v="James James DVM"/>
    <s v="Group Scott"/>
    <x v="3"/>
    <n v="13769.4"/>
    <n v="498"/>
    <x v="0"/>
    <d v="2021-10-24T00:00:00"/>
    <s v="Ibuprofen"/>
    <x v="2"/>
    <n v="13"/>
    <x v="0"/>
    <s v="Medium"/>
    <n v="10"/>
    <x v="5"/>
    <s v="October"/>
  </r>
  <r>
    <s v="cyNTHIa HuANG"/>
    <n v="51"/>
    <x v="0"/>
    <x v="3"/>
    <x v="5"/>
    <d v="2021-12-12T00:00:00"/>
    <s v="Sean Smith"/>
    <s v="and Simmons Sons"/>
    <x v="2"/>
    <n v="35868.54"/>
    <n v="309"/>
    <x v="2"/>
    <d v="2021-12-30T00:00:00"/>
    <s v="Lipitor"/>
    <x v="2"/>
    <n v="18"/>
    <x v="3"/>
    <s v="High"/>
    <n v="12"/>
    <x v="5"/>
    <s v="December"/>
  </r>
  <r>
    <s v="meLiSSA LawRENcE"/>
    <n v="20"/>
    <x v="0"/>
    <x v="3"/>
    <x v="1"/>
    <d v="2023-07-09T00:00:00"/>
    <s v="John Hansen"/>
    <s v="Humphrey and Browning Fitzgerald,"/>
    <x v="0"/>
    <n v="35205.279999999999"/>
    <n v="104"/>
    <x v="1"/>
    <d v="2023-07-15T00:00:00"/>
    <s v="Lipitor"/>
    <x v="2"/>
    <n v="6"/>
    <x v="0"/>
    <s v="High"/>
    <n v="7"/>
    <x v="4"/>
    <s v="July"/>
  </r>
  <r>
    <s v="STEvEn goodwIN"/>
    <n v="61"/>
    <x v="1"/>
    <x v="2"/>
    <x v="1"/>
    <d v="2020-09-08T00:00:00"/>
    <s v="Teresa Mccarthy"/>
    <s v="Adams-Molina"/>
    <x v="0"/>
    <n v="21576.5"/>
    <n v="308"/>
    <x v="1"/>
    <d v="2020-10-03T00:00:00"/>
    <s v="Ibuprofen"/>
    <x v="2"/>
    <n v="25"/>
    <x v="1"/>
    <s v="Medium"/>
    <n v="9"/>
    <x v="3"/>
    <s v="September"/>
  </r>
  <r>
    <s v="mARY HuNT"/>
    <n v="44"/>
    <x v="0"/>
    <x v="5"/>
    <x v="4"/>
    <d v="2020-08-31T00:00:00"/>
    <s v="Stephanie Barnett"/>
    <s v="Guzman LLC"/>
    <x v="2"/>
    <n v="18771.009999999998"/>
    <n v="168"/>
    <x v="0"/>
    <d v="2020-09-18T00:00:00"/>
    <s v="Lipitor"/>
    <x v="2"/>
    <n v="18"/>
    <x v="3"/>
    <s v="Medium"/>
    <n v="8"/>
    <x v="3"/>
    <s v="August"/>
  </r>
  <r>
    <s v="ERic riveRa"/>
    <n v="74"/>
    <x v="1"/>
    <x v="4"/>
    <x v="0"/>
    <d v="2024-04-10T00:00:00"/>
    <s v="Mr. Luke Nunez Jr."/>
    <s v="Gonzalez-Pacheco"/>
    <x v="0"/>
    <n v="21668.560000000001"/>
    <n v="115"/>
    <x v="1"/>
    <d v="2024-05-03T00:00:00"/>
    <s v="Lipitor"/>
    <x v="2"/>
    <n v="23"/>
    <x v="2"/>
    <s v="Medium"/>
    <n v="4"/>
    <x v="0"/>
    <s v="April"/>
  </r>
  <r>
    <s v="ALAn tayLor"/>
    <n v="82"/>
    <x v="1"/>
    <x v="0"/>
    <x v="2"/>
    <d v="2021-08-10T00:00:00"/>
    <s v="Stacy Stewart"/>
    <s v="Hunt, Carlson and Cherry"/>
    <x v="4"/>
    <n v="36339.82"/>
    <n v="189"/>
    <x v="2"/>
    <d v="2021-09-09T00:00:00"/>
    <s v="Lipitor"/>
    <x v="1"/>
    <n v="30"/>
    <x v="2"/>
    <s v="High"/>
    <n v="8"/>
    <x v="5"/>
    <s v="August"/>
  </r>
  <r>
    <s v="mIcHaEL cAMPbeLl"/>
    <n v="83"/>
    <x v="0"/>
    <x v="7"/>
    <x v="2"/>
    <d v="2022-01-25T00:00:00"/>
    <s v="Andrea Oneal"/>
    <s v="Ltd Barnes"/>
    <x v="4"/>
    <n v="40825.18"/>
    <n v="438"/>
    <x v="2"/>
    <d v="2022-01-28T00:00:00"/>
    <s v="Aspirin"/>
    <x v="2"/>
    <n v="3"/>
    <x v="2"/>
    <s v="High"/>
    <n v="1"/>
    <x v="2"/>
    <s v="January"/>
  </r>
  <r>
    <s v="asHLEY webb ddS"/>
    <n v="62"/>
    <x v="1"/>
    <x v="5"/>
    <x v="0"/>
    <d v="2023-09-12T00:00:00"/>
    <s v="Eric Coleman"/>
    <s v="Gordon, Fox Lane and"/>
    <x v="0"/>
    <n v="40469.57"/>
    <n v="286"/>
    <x v="2"/>
    <d v="2023-10-12T00:00:00"/>
    <s v="Penicillin"/>
    <x v="0"/>
    <n v="30"/>
    <x v="1"/>
    <s v="High"/>
    <n v="9"/>
    <x v="4"/>
    <s v="September"/>
  </r>
  <r>
    <s v="SHaNNON broWn"/>
    <n v="62"/>
    <x v="1"/>
    <x v="0"/>
    <x v="1"/>
    <d v="2020-08-05T00:00:00"/>
    <s v="Anthony Barnes"/>
    <s v="Petersen Ltd"/>
    <x v="1"/>
    <n v="25749.52"/>
    <n v="138"/>
    <x v="2"/>
    <d v="2020-08-14T00:00:00"/>
    <s v="Ibuprofen"/>
    <x v="1"/>
    <n v="9"/>
    <x v="1"/>
    <s v="Medium"/>
    <n v="8"/>
    <x v="3"/>
    <s v="August"/>
  </r>
  <r>
    <s v="LAwrenCE shEPherD"/>
    <n v="18"/>
    <x v="0"/>
    <x v="2"/>
    <x v="3"/>
    <d v="2022-05-07T00:00:00"/>
    <s v="Michael Hickman"/>
    <s v="and Mcdonald Sons"/>
    <x v="2"/>
    <n v="15841.2"/>
    <n v="275"/>
    <x v="0"/>
    <d v="2022-06-03T00:00:00"/>
    <s v="Ibuprofen"/>
    <x v="2"/>
    <n v="27"/>
    <x v="0"/>
    <s v="Medium"/>
    <n v="5"/>
    <x v="2"/>
    <s v="May"/>
  </r>
  <r>
    <s v="scoTt wADE"/>
    <n v="66"/>
    <x v="0"/>
    <x v="1"/>
    <x v="5"/>
    <d v="2022-02-13T00:00:00"/>
    <s v="Dustin Wolf"/>
    <s v="Smith, Elliott and Blackburn"/>
    <x v="1"/>
    <n v="36086.57"/>
    <n v="266"/>
    <x v="0"/>
    <d v="2022-02-23T00:00:00"/>
    <s v="Paracetamol"/>
    <x v="0"/>
    <n v="10"/>
    <x v="1"/>
    <s v="High"/>
    <n v="2"/>
    <x v="2"/>
    <s v="February"/>
  </r>
  <r>
    <s v="heAthER curTis"/>
    <n v="26"/>
    <x v="1"/>
    <x v="4"/>
    <x v="3"/>
    <d v="2024-03-03T00:00:00"/>
    <s v="Amanda Wells"/>
    <s v="PLC Oliver"/>
    <x v="0"/>
    <n v="32085.23"/>
    <n v="392"/>
    <x v="0"/>
    <d v="2024-03-27T00:00:00"/>
    <s v="Penicillin"/>
    <x v="1"/>
    <n v="24"/>
    <x v="0"/>
    <s v="High"/>
    <n v="3"/>
    <x v="0"/>
    <s v="March"/>
  </r>
  <r>
    <s v="kEvIN jEFFeRsON"/>
    <n v="45"/>
    <x v="1"/>
    <x v="6"/>
    <x v="0"/>
    <d v="2020-03-14T00:00:00"/>
    <s v="Jason Miller"/>
    <s v="Griffin and Lyons Rivers,"/>
    <x v="4"/>
    <n v="12356.56"/>
    <n v="156"/>
    <x v="1"/>
    <d v="2020-04-03T00:00:00"/>
    <s v="Aspirin"/>
    <x v="1"/>
    <n v="20"/>
    <x v="3"/>
    <s v="Medium"/>
    <n v="3"/>
    <x v="3"/>
    <s v="March"/>
  </r>
  <r>
    <s v="dAvId gRifFIn"/>
    <n v="26"/>
    <x v="0"/>
    <x v="5"/>
    <x v="3"/>
    <d v="2024-02-07T00:00:00"/>
    <s v="Holly James"/>
    <s v="Craig-Garcia"/>
    <x v="2"/>
    <n v="15367.41"/>
    <n v="255"/>
    <x v="1"/>
    <d v="2024-02-24T00:00:00"/>
    <s v="Ibuprofen"/>
    <x v="1"/>
    <n v="17"/>
    <x v="0"/>
    <s v="Medium"/>
    <n v="2"/>
    <x v="0"/>
    <s v="February"/>
  </r>
  <r>
    <s v="GRanT GeoRge"/>
    <n v="26"/>
    <x v="0"/>
    <x v="3"/>
    <x v="0"/>
    <d v="2019-07-21T00:00:00"/>
    <s v="April Cox"/>
    <s v="Baker-Jones"/>
    <x v="1"/>
    <n v="40190.199999999997"/>
    <n v="315"/>
    <x v="2"/>
    <d v="2019-08-05T00:00:00"/>
    <s v="Penicillin"/>
    <x v="2"/>
    <n v="15"/>
    <x v="0"/>
    <s v="High"/>
    <n v="7"/>
    <x v="1"/>
    <s v="July"/>
  </r>
  <r>
    <s v="eRIc SteWART"/>
    <n v="79"/>
    <x v="1"/>
    <x v="3"/>
    <x v="2"/>
    <d v="2023-04-14T00:00:00"/>
    <s v="Virginia Lynch"/>
    <s v="Duffy-Kelly"/>
    <x v="2"/>
    <n v="3872.1"/>
    <n v="322"/>
    <x v="2"/>
    <d v="2023-04-18T00:00:00"/>
    <s v="Penicillin"/>
    <x v="1"/>
    <n v="4"/>
    <x v="2"/>
    <s v="Low"/>
    <n v="4"/>
    <x v="4"/>
    <s v="April"/>
  </r>
  <r>
    <s v="RoBErt pittmAn"/>
    <n v="33"/>
    <x v="1"/>
    <x v="0"/>
    <x v="5"/>
    <d v="2024-01-17T00:00:00"/>
    <s v="Patricia Fuller"/>
    <s v="Rodriguez-Becker"/>
    <x v="4"/>
    <n v="3311.59"/>
    <n v="184"/>
    <x v="2"/>
    <d v="2024-02-05T00:00:00"/>
    <s v="Lipitor"/>
    <x v="0"/>
    <n v="19"/>
    <x v="0"/>
    <s v="Low"/>
    <n v="1"/>
    <x v="0"/>
    <s v="January"/>
  </r>
  <r>
    <s v="SYdNey Cross"/>
    <n v="34"/>
    <x v="1"/>
    <x v="3"/>
    <x v="0"/>
    <d v="2019-06-25T00:00:00"/>
    <s v="Michelle Ward"/>
    <s v="Group Brown"/>
    <x v="3"/>
    <n v="18524.87"/>
    <n v="472"/>
    <x v="0"/>
    <d v="2019-06-30T00:00:00"/>
    <s v="Lipitor"/>
    <x v="2"/>
    <n v="5"/>
    <x v="0"/>
    <s v="Medium"/>
    <n v="6"/>
    <x v="1"/>
    <s v="June"/>
  </r>
  <r>
    <s v="DaviD CrawfoRD"/>
    <n v="76"/>
    <x v="1"/>
    <x v="5"/>
    <x v="4"/>
    <d v="2021-05-20T00:00:00"/>
    <s v="Robin Adams"/>
    <s v="Powers-Vincent"/>
    <x v="3"/>
    <n v="30107.49"/>
    <n v="494"/>
    <x v="1"/>
    <d v="2021-06-12T00:00:00"/>
    <s v="Ibuprofen"/>
    <x v="1"/>
    <n v="23"/>
    <x v="2"/>
    <s v="High"/>
    <n v="5"/>
    <x v="5"/>
    <s v="May"/>
  </r>
  <r>
    <s v="LEAH DRaKE"/>
    <n v="50"/>
    <x v="1"/>
    <x v="0"/>
    <x v="1"/>
    <d v="2020-04-03T00:00:00"/>
    <s v="Emily Morales"/>
    <s v="and Ramos Brown Edwards,"/>
    <x v="3"/>
    <n v="15826.1"/>
    <n v="398"/>
    <x v="1"/>
    <d v="2020-04-11T00:00:00"/>
    <s v="Paracetamol"/>
    <x v="0"/>
    <n v="8"/>
    <x v="3"/>
    <s v="Medium"/>
    <n v="4"/>
    <x v="3"/>
    <s v="April"/>
  </r>
  <r>
    <s v="DiAna hALL"/>
    <n v="44"/>
    <x v="0"/>
    <x v="0"/>
    <x v="2"/>
    <d v="2020-01-21T00:00:00"/>
    <s v="Adriana Morrow"/>
    <s v="Johnson Group"/>
    <x v="0"/>
    <n v="26437.77"/>
    <n v="267"/>
    <x v="1"/>
    <d v="2020-01-30T00:00:00"/>
    <s v="Ibuprofen"/>
    <x v="2"/>
    <n v="9"/>
    <x v="3"/>
    <s v="Medium"/>
    <n v="1"/>
    <x v="3"/>
    <s v="January"/>
  </r>
  <r>
    <s v="JUsTIN lE"/>
    <n v="38"/>
    <x v="1"/>
    <x v="5"/>
    <x v="5"/>
    <d v="2021-12-02T00:00:00"/>
    <s v="Michael Mitchell"/>
    <s v="Atkins Inc"/>
    <x v="2"/>
    <n v="49663.45"/>
    <n v="435"/>
    <x v="1"/>
    <d v="2021-12-07T00:00:00"/>
    <s v="Paracetamol"/>
    <x v="0"/>
    <n v="5"/>
    <x v="3"/>
    <s v="High"/>
    <n v="12"/>
    <x v="5"/>
    <s v="December"/>
  </r>
  <r>
    <s v="KaREn pricE dDs"/>
    <n v="43"/>
    <x v="0"/>
    <x v="4"/>
    <x v="0"/>
    <d v="2021-05-28T00:00:00"/>
    <s v="Caroline Choi"/>
    <s v="Marshall LLC"/>
    <x v="2"/>
    <n v="27278.240000000002"/>
    <n v="174"/>
    <x v="0"/>
    <d v="2021-06-18T00:00:00"/>
    <s v="Ibuprofen"/>
    <x v="2"/>
    <n v="21"/>
    <x v="3"/>
    <s v="Medium"/>
    <n v="5"/>
    <x v="5"/>
    <s v="May"/>
  </r>
  <r>
    <s v="CaROlYN sTEeLE"/>
    <n v="27"/>
    <x v="1"/>
    <x v="4"/>
    <x v="4"/>
    <d v="2020-03-23T00:00:00"/>
    <s v="Michael Robinson"/>
    <s v="Ltd Cruz"/>
    <x v="4"/>
    <n v="33170.44"/>
    <n v="137"/>
    <x v="0"/>
    <d v="2020-04-11T00:00:00"/>
    <s v="Paracetamol"/>
    <x v="2"/>
    <n v="19"/>
    <x v="0"/>
    <s v="High"/>
    <n v="3"/>
    <x v="3"/>
    <s v="March"/>
  </r>
  <r>
    <s v="LAURen RAMireZ"/>
    <n v="78"/>
    <x v="0"/>
    <x v="1"/>
    <x v="3"/>
    <d v="2022-08-06T00:00:00"/>
    <s v="Heather Miller"/>
    <s v="Harrison-Parker"/>
    <x v="1"/>
    <n v="1791.39"/>
    <n v="405"/>
    <x v="0"/>
    <d v="2022-09-05T00:00:00"/>
    <s v="Paracetamol"/>
    <x v="0"/>
    <n v="30"/>
    <x v="2"/>
    <s v="Low"/>
    <n v="8"/>
    <x v="2"/>
    <s v="August"/>
  </r>
  <r>
    <s v="jAcOb nEWman"/>
    <n v="40"/>
    <x v="0"/>
    <x v="1"/>
    <x v="2"/>
    <d v="2024-03-09T00:00:00"/>
    <s v="Howard Obrien"/>
    <s v="Lee-Clayton"/>
    <x v="0"/>
    <n v="31188.04"/>
    <n v="111"/>
    <x v="2"/>
    <d v="2024-04-05T00:00:00"/>
    <s v="Ibuprofen"/>
    <x v="0"/>
    <n v="27"/>
    <x v="3"/>
    <s v="High"/>
    <n v="3"/>
    <x v="0"/>
    <s v="March"/>
  </r>
  <r>
    <s v="KAThErInE BARnEtt"/>
    <n v="25"/>
    <x v="0"/>
    <x v="5"/>
    <x v="5"/>
    <d v="2022-03-15T00:00:00"/>
    <s v="Faith Cook"/>
    <s v="Mcdaniel and Sons"/>
    <x v="1"/>
    <n v="13854.65"/>
    <n v="328"/>
    <x v="2"/>
    <d v="2022-04-10T00:00:00"/>
    <s v="Penicillin"/>
    <x v="1"/>
    <n v="26"/>
    <x v="0"/>
    <s v="Medium"/>
    <n v="3"/>
    <x v="2"/>
    <s v="March"/>
  </r>
  <r>
    <s v="JODI martiNeZ"/>
    <n v="67"/>
    <x v="1"/>
    <x v="4"/>
    <x v="1"/>
    <d v="2020-08-08T00:00:00"/>
    <s v="Donna Colon"/>
    <s v="Inc Lynch"/>
    <x v="0"/>
    <n v="11870.91"/>
    <n v="196"/>
    <x v="2"/>
    <d v="2020-08-14T00:00:00"/>
    <s v="Ibuprofen"/>
    <x v="2"/>
    <n v="6"/>
    <x v="1"/>
    <s v="Medium"/>
    <n v="8"/>
    <x v="3"/>
    <s v="August"/>
  </r>
  <r>
    <s v="andrEa aLlEN"/>
    <n v="47"/>
    <x v="1"/>
    <x v="4"/>
    <x v="1"/>
    <d v="2019-06-09T00:00:00"/>
    <s v="David Lindsey"/>
    <s v="and Mendoza Rich Morales,"/>
    <x v="3"/>
    <n v="25574.13"/>
    <n v="464"/>
    <x v="2"/>
    <d v="2019-07-01T00:00:00"/>
    <s v="Aspirin"/>
    <x v="1"/>
    <n v="22"/>
    <x v="3"/>
    <s v="Medium"/>
    <n v="6"/>
    <x v="1"/>
    <s v="June"/>
  </r>
  <r>
    <s v="nOah baxtEr"/>
    <n v="75"/>
    <x v="0"/>
    <x v="5"/>
    <x v="5"/>
    <d v="2019-09-07T00:00:00"/>
    <s v="Anthony Nixon"/>
    <s v="Proctor-Jones"/>
    <x v="2"/>
    <n v="6132.4"/>
    <n v="231"/>
    <x v="0"/>
    <d v="2019-10-06T00:00:00"/>
    <s v="Paracetamol"/>
    <x v="0"/>
    <n v="29"/>
    <x v="2"/>
    <s v="Low"/>
    <n v="9"/>
    <x v="1"/>
    <s v="September"/>
  </r>
  <r>
    <s v="hECTOR MAXweLL"/>
    <n v="58"/>
    <x v="1"/>
    <x v="2"/>
    <x v="1"/>
    <d v="2021-02-14T00:00:00"/>
    <s v="Doris Hawkins"/>
    <s v="and Ramirez Figueroa May,"/>
    <x v="1"/>
    <n v="33343.9"/>
    <n v="117"/>
    <x v="2"/>
    <d v="2021-02-26T00:00:00"/>
    <s v="Lipitor"/>
    <x v="1"/>
    <n v="12"/>
    <x v="1"/>
    <s v="High"/>
    <n v="2"/>
    <x v="5"/>
    <s v="February"/>
  </r>
  <r>
    <s v="holLy WALters"/>
    <n v="26"/>
    <x v="1"/>
    <x v="2"/>
    <x v="4"/>
    <d v="2019-11-10T00:00:00"/>
    <s v="Caleb James"/>
    <s v="Michael-Jenkins"/>
    <x v="1"/>
    <n v="43484.25"/>
    <n v="244"/>
    <x v="0"/>
    <d v="2019-11-26T00:00:00"/>
    <s v="Penicillin"/>
    <x v="2"/>
    <n v="16"/>
    <x v="0"/>
    <s v="High"/>
    <n v="11"/>
    <x v="1"/>
    <s v="November"/>
  </r>
  <r>
    <s v="JOsepH SmIth"/>
    <n v="22"/>
    <x v="0"/>
    <x v="3"/>
    <x v="1"/>
    <d v="2023-04-16T00:00:00"/>
    <s v="Patricia Moore"/>
    <s v="Hardy Inc"/>
    <x v="3"/>
    <n v="7858.93"/>
    <n v="414"/>
    <x v="0"/>
    <d v="2023-05-14T00:00:00"/>
    <s v="Penicillin"/>
    <x v="0"/>
    <n v="28"/>
    <x v="0"/>
    <s v="Low"/>
    <n v="4"/>
    <x v="4"/>
    <s v="April"/>
  </r>
  <r>
    <s v="albERt tHOmAS"/>
    <n v="29"/>
    <x v="1"/>
    <x v="6"/>
    <x v="3"/>
    <d v="2020-04-25T00:00:00"/>
    <s v="Matthew Gray"/>
    <s v="Turner, and Williams Mercado"/>
    <x v="4"/>
    <n v="33161.94"/>
    <n v="493"/>
    <x v="0"/>
    <d v="2020-04-28T00:00:00"/>
    <s v="Paracetamol"/>
    <x v="1"/>
    <n v="3"/>
    <x v="0"/>
    <s v="High"/>
    <n v="4"/>
    <x v="3"/>
    <s v="April"/>
  </r>
  <r>
    <s v="jeFfErY WIlliaMSOn"/>
    <n v="30"/>
    <x v="0"/>
    <x v="2"/>
    <x v="0"/>
    <d v="2021-08-21T00:00:00"/>
    <s v="Justin Lowe"/>
    <s v="PLC Williams"/>
    <x v="4"/>
    <n v="2879.46"/>
    <n v="183"/>
    <x v="0"/>
    <d v="2021-08-28T00:00:00"/>
    <s v="Ibuprofen"/>
    <x v="0"/>
    <n v="7"/>
    <x v="0"/>
    <s v="Low"/>
    <n v="8"/>
    <x v="5"/>
    <s v="August"/>
  </r>
  <r>
    <s v="joNAthAn meADOWS"/>
    <n v="22"/>
    <x v="1"/>
    <x v="3"/>
    <x v="3"/>
    <d v="2021-01-14T00:00:00"/>
    <s v="Danny Mcdonald"/>
    <s v="Evans Ltd"/>
    <x v="2"/>
    <n v="46492.86"/>
    <n v="471"/>
    <x v="2"/>
    <d v="2021-01-27T00:00:00"/>
    <s v="Aspirin"/>
    <x v="1"/>
    <n v="13"/>
    <x v="0"/>
    <s v="High"/>
    <n v="1"/>
    <x v="5"/>
    <s v="January"/>
  </r>
  <r>
    <s v="kRIStIN BeNnETT"/>
    <n v="34"/>
    <x v="0"/>
    <x v="4"/>
    <x v="4"/>
    <d v="2020-09-12T00:00:00"/>
    <s v="Gina Weaver"/>
    <s v="Merritt-Gray"/>
    <x v="2"/>
    <n v="5259.27"/>
    <n v="341"/>
    <x v="2"/>
    <d v="2020-09-26T00:00:00"/>
    <s v="Paracetamol"/>
    <x v="2"/>
    <n v="14"/>
    <x v="0"/>
    <s v="Low"/>
    <n v="9"/>
    <x v="3"/>
    <s v="September"/>
  </r>
  <r>
    <s v="miCHaEl SmITh"/>
    <n v="20"/>
    <x v="0"/>
    <x v="4"/>
    <x v="5"/>
    <d v="2020-03-27T00:00:00"/>
    <s v="Eddie Jackson"/>
    <s v="Huang Travis Thomas, and"/>
    <x v="3"/>
    <n v="2784.58"/>
    <n v="164"/>
    <x v="1"/>
    <d v="2020-04-16T00:00:00"/>
    <s v="Aspirin"/>
    <x v="1"/>
    <n v="20"/>
    <x v="0"/>
    <s v="Low"/>
    <n v="3"/>
    <x v="3"/>
    <s v="March"/>
  </r>
  <r>
    <s v="JOSepH cARpenteR"/>
    <n v="37"/>
    <x v="1"/>
    <x v="2"/>
    <x v="5"/>
    <d v="2019-07-26T00:00:00"/>
    <s v="Miss Valerie Saunders MD"/>
    <s v="Rodriguez-Zimmerman"/>
    <x v="2"/>
    <n v="13418.22"/>
    <n v="102"/>
    <x v="1"/>
    <d v="2019-08-17T00:00:00"/>
    <s v="Penicillin"/>
    <x v="2"/>
    <n v="22"/>
    <x v="3"/>
    <s v="Medium"/>
    <n v="7"/>
    <x v="1"/>
    <s v="July"/>
  </r>
  <r>
    <s v="larRy MaYEr"/>
    <n v="25"/>
    <x v="1"/>
    <x v="1"/>
    <x v="0"/>
    <d v="2023-12-07T00:00:00"/>
    <s v="Richard Petty"/>
    <s v="Miller PLC"/>
    <x v="0"/>
    <n v="36990.46"/>
    <n v="356"/>
    <x v="0"/>
    <d v="2023-12-14T00:00:00"/>
    <s v="Aspirin"/>
    <x v="0"/>
    <n v="7"/>
    <x v="0"/>
    <s v="High"/>
    <n v="12"/>
    <x v="4"/>
    <s v="December"/>
  </r>
  <r>
    <s v="CLaYTON PEterSon"/>
    <n v="45"/>
    <x v="1"/>
    <x v="0"/>
    <x v="0"/>
    <d v="2021-06-11T00:00:00"/>
    <s v="Patricia Bean"/>
    <s v="May, Mullins and Martin"/>
    <x v="2"/>
    <n v="43567.14"/>
    <n v="325"/>
    <x v="0"/>
    <d v="2021-07-03T00:00:00"/>
    <s v="Paracetamol"/>
    <x v="0"/>
    <n v="22"/>
    <x v="3"/>
    <s v="High"/>
    <n v="6"/>
    <x v="5"/>
    <s v="June"/>
  </r>
  <r>
    <s v="donaLD aLVArEZ"/>
    <n v="18"/>
    <x v="0"/>
    <x v="7"/>
    <x v="2"/>
    <d v="2022-02-11T00:00:00"/>
    <s v="Ronald Jones"/>
    <s v="Moore-Robbins"/>
    <x v="3"/>
    <n v="35570.080000000002"/>
    <n v="497"/>
    <x v="1"/>
    <d v="2022-02-23T00:00:00"/>
    <s v="Ibuprofen"/>
    <x v="1"/>
    <n v="12"/>
    <x v="0"/>
    <s v="High"/>
    <n v="2"/>
    <x v="2"/>
    <s v="February"/>
  </r>
  <r>
    <s v="SaRAh leE"/>
    <n v="56"/>
    <x v="0"/>
    <x v="3"/>
    <x v="5"/>
    <d v="2020-09-12T00:00:00"/>
    <s v="Jack Wall"/>
    <s v="Ltd Howard"/>
    <x v="0"/>
    <n v="6848.13"/>
    <n v="421"/>
    <x v="1"/>
    <d v="2020-09-22T00:00:00"/>
    <s v="Aspirin"/>
    <x v="0"/>
    <n v="10"/>
    <x v="1"/>
    <s v="Low"/>
    <n v="9"/>
    <x v="3"/>
    <s v="September"/>
  </r>
  <r>
    <s v="joHN peReZ"/>
    <n v="44"/>
    <x v="0"/>
    <x v="5"/>
    <x v="3"/>
    <d v="2020-05-25T00:00:00"/>
    <s v="Felicia Morrison"/>
    <s v="Group Crosby"/>
    <x v="2"/>
    <n v="4677.6000000000004"/>
    <n v="488"/>
    <x v="1"/>
    <d v="2020-06-05T00:00:00"/>
    <s v="Lipitor"/>
    <x v="1"/>
    <n v="11"/>
    <x v="3"/>
    <s v="Low"/>
    <n v="5"/>
    <x v="3"/>
    <s v="May"/>
  </r>
  <r>
    <s v="Timothy jAcobS"/>
    <n v="34"/>
    <x v="0"/>
    <x v="3"/>
    <x v="4"/>
    <d v="2023-09-25T00:00:00"/>
    <s v="Crystal Schultz"/>
    <s v="Cook Ltd"/>
    <x v="2"/>
    <n v="35157.17"/>
    <n v="328"/>
    <x v="2"/>
    <d v="2023-10-21T00:00:00"/>
    <s v="Penicillin"/>
    <x v="0"/>
    <n v="26"/>
    <x v="0"/>
    <s v="High"/>
    <n v="9"/>
    <x v="4"/>
    <s v="September"/>
  </r>
  <r>
    <s v="nAThaN sMall"/>
    <n v="26"/>
    <x v="0"/>
    <x v="6"/>
    <x v="1"/>
    <d v="2022-06-22T00:00:00"/>
    <s v="Bailey Gonzalez"/>
    <s v="Rivas, Mcconnell Hill and"/>
    <x v="3"/>
    <n v="34719.17"/>
    <n v="317"/>
    <x v="2"/>
    <d v="2022-07-20T00:00:00"/>
    <s v="Lipitor"/>
    <x v="0"/>
    <n v="28"/>
    <x v="0"/>
    <s v="High"/>
    <n v="6"/>
    <x v="2"/>
    <s v="June"/>
  </r>
  <r>
    <s v="dUSTin WriGhT"/>
    <n v="32"/>
    <x v="0"/>
    <x v="3"/>
    <x v="1"/>
    <d v="2020-01-12T00:00:00"/>
    <s v="Michael Guzman"/>
    <s v="Conner-Flores"/>
    <x v="2"/>
    <n v="23775.45"/>
    <n v="133"/>
    <x v="2"/>
    <d v="2020-01-19T00:00:00"/>
    <s v="Aspirin"/>
    <x v="0"/>
    <n v="7"/>
    <x v="0"/>
    <s v="Medium"/>
    <n v="1"/>
    <x v="3"/>
    <s v="January"/>
  </r>
  <r>
    <s v="jacOb wilLiAMS"/>
    <n v="64"/>
    <x v="0"/>
    <x v="6"/>
    <x v="5"/>
    <d v="2022-07-29T00:00:00"/>
    <s v="Elizabeth Flowers"/>
    <s v="Suarez-Nelson"/>
    <x v="3"/>
    <n v="17732.47"/>
    <n v="247"/>
    <x v="0"/>
    <d v="2022-08-07T00:00:00"/>
    <s v="Ibuprofen"/>
    <x v="0"/>
    <n v="9"/>
    <x v="1"/>
    <s v="Medium"/>
    <n v="7"/>
    <x v="2"/>
    <s v="July"/>
  </r>
  <r>
    <s v="wiLlIAm mcCOY"/>
    <n v="80"/>
    <x v="0"/>
    <x v="2"/>
    <x v="3"/>
    <d v="2023-02-20T00:00:00"/>
    <s v="Whitney Vaughan"/>
    <s v="and Walker Glenn, Long"/>
    <x v="4"/>
    <n v="3845.4"/>
    <n v="158"/>
    <x v="1"/>
    <d v="2023-03-10T00:00:00"/>
    <s v="Penicillin"/>
    <x v="0"/>
    <n v="18"/>
    <x v="2"/>
    <s v="Low"/>
    <n v="2"/>
    <x v="4"/>
    <s v="February"/>
  </r>
  <r>
    <s v="dr. MATthEW wilkinS"/>
    <n v="80"/>
    <x v="0"/>
    <x v="2"/>
    <x v="0"/>
    <d v="2021-07-14T00:00:00"/>
    <s v="Seth Nelson"/>
    <s v="PLC Anderson"/>
    <x v="0"/>
    <n v="22401.55"/>
    <n v="242"/>
    <x v="2"/>
    <d v="2021-07-24T00:00:00"/>
    <s v="Lipitor"/>
    <x v="1"/>
    <n v="10"/>
    <x v="2"/>
    <s v="Medium"/>
    <n v="7"/>
    <x v="5"/>
    <s v="July"/>
  </r>
  <r>
    <s v="JosEpH gONZaLeZ"/>
    <n v="37"/>
    <x v="1"/>
    <x v="3"/>
    <x v="4"/>
    <d v="2024-04-17T00:00:00"/>
    <s v="Erin Wright"/>
    <s v="Blackwell-Gamble"/>
    <x v="3"/>
    <n v="23340.3"/>
    <n v="151"/>
    <x v="0"/>
    <d v="2024-05-07T00:00:00"/>
    <s v="Aspirin"/>
    <x v="0"/>
    <n v="20"/>
    <x v="3"/>
    <s v="Medium"/>
    <n v="4"/>
    <x v="0"/>
    <s v="April"/>
  </r>
  <r>
    <s v="rObErt fiElDS"/>
    <n v="52"/>
    <x v="1"/>
    <x v="1"/>
    <x v="4"/>
    <d v="2021-02-04T00:00:00"/>
    <s v="Jennifer Flores"/>
    <s v="Wagner PLC"/>
    <x v="0"/>
    <n v="3042.41"/>
    <n v="221"/>
    <x v="0"/>
    <d v="2021-02-28T00:00:00"/>
    <s v="Aspirin"/>
    <x v="2"/>
    <n v="24"/>
    <x v="3"/>
    <s v="Low"/>
    <n v="2"/>
    <x v="5"/>
    <s v="February"/>
  </r>
  <r>
    <s v="lawrencE mIRAndA"/>
    <n v="83"/>
    <x v="1"/>
    <x v="7"/>
    <x v="2"/>
    <d v="2021-09-02T00:00:00"/>
    <s v="Brandi Knight"/>
    <s v="Goodman-Kelly"/>
    <x v="0"/>
    <n v="41817.68"/>
    <n v="223"/>
    <x v="0"/>
    <d v="2021-09-19T00:00:00"/>
    <s v="Paracetamol"/>
    <x v="1"/>
    <n v="17"/>
    <x v="2"/>
    <s v="High"/>
    <n v="9"/>
    <x v="5"/>
    <s v="September"/>
  </r>
  <r>
    <s v="mitCheLl caRrOlL"/>
    <n v="28"/>
    <x v="1"/>
    <x v="0"/>
    <x v="5"/>
    <d v="2022-09-10T00:00:00"/>
    <s v="Chad Irwin"/>
    <s v="and Boyd Powell, Sims"/>
    <x v="4"/>
    <n v="49700.32"/>
    <n v="359"/>
    <x v="2"/>
    <d v="2022-10-01T00:00:00"/>
    <s v="Paracetamol"/>
    <x v="2"/>
    <n v="21"/>
    <x v="0"/>
    <s v="High"/>
    <n v="9"/>
    <x v="2"/>
    <s v="September"/>
  </r>
  <r>
    <s v="COdY nIcHoLs"/>
    <n v="63"/>
    <x v="0"/>
    <x v="1"/>
    <x v="2"/>
    <d v="2022-11-25T00:00:00"/>
    <s v="Victoria Williams"/>
    <s v="and Conrad Boyd, Burnett"/>
    <x v="0"/>
    <n v="45157.47"/>
    <n v="480"/>
    <x v="2"/>
    <d v="2022-12-20T00:00:00"/>
    <s v="Lipitor"/>
    <x v="0"/>
    <n v="25"/>
    <x v="1"/>
    <s v="High"/>
    <n v="11"/>
    <x v="2"/>
    <s v="November"/>
  </r>
  <r>
    <s v="KELlI tHompSOn"/>
    <n v="85"/>
    <x v="0"/>
    <x v="7"/>
    <x v="3"/>
    <d v="2023-08-04T00:00:00"/>
    <s v="Travis Walton"/>
    <s v="Ayala-Armstrong"/>
    <x v="4"/>
    <n v="18832.099999999999"/>
    <n v="472"/>
    <x v="1"/>
    <d v="2023-08-12T00:00:00"/>
    <s v="Ibuprofen"/>
    <x v="2"/>
    <n v="8"/>
    <x v="2"/>
    <s v="Medium"/>
    <n v="8"/>
    <x v="4"/>
    <s v="August"/>
  </r>
  <r>
    <s v="dAnIElle lOPeZ"/>
    <n v="37"/>
    <x v="0"/>
    <x v="7"/>
    <x v="4"/>
    <d v="2020-11-20T00:00:00"/>
    <s v="Catherine Hernandez"/>
    <s v="and Lambert White, Vargas"/>
    <x v="2"/>
    <n v="31732.13"/>
    <n v="373"/>
    <x v="2"/>
    <d v="2020-12-06T00:00:00"/>
    <s v="Lipitor"/>
    <x v="0"/>
    <n v="16"/>
    <x v="3"/>
    <s v="High"/>
    <n v="11"/>
    <x v="3"/>
    <s v="November"/>
  </r>
  <r>
    <s v="melINda JONES"/>
    <n v="22"/>
    <x v="0"/>
    <x v="5"/>
    <x v="2"/>
    <d v="2019-10-23T00:00:00"/>
    <s v="Kristen Johnson"/>
    <s v="Group Doyle"/>
    <x v="0"/>
    <n v="42214.98"/>
    <n v="370"/>
    <x v="0"/>
    <d v="2019-11-09T00:00:00"/>
    <s v="Paracetamol"/>
    <x v="2"/>
    <n v="17"/>
    <x v="0"/>
    <s v="High"/>
    <n v="10"/>
    <x v="1"/>
    <s v="October"/>
  </r>
  <r>
    <s v="KRiSTIN sMith"/>
    <n v="80"/>
    <x v="1"/>
    <x v="4"/>
    <x v="5"/>
    <d v="2020-10-17T00:00:00"/>
    <s v="Tammy Chavez"/>
    <s v="Henderson-Johnson"/>
    <x v="1"/>
    <n v="12400.21"/>
    <n v="141"/>
    <x v="2"/>
    <d v="2020-10-29T00:00:00"/>
    <s v="Aspirin"/>
    <x v="0"/>
    <n v="12"/>
    <x v="2"/>
    <s v="Medium"/>
    <n v="10"/>
    <x v="3"/>
    <s v="October"/>
  </r>
  <r>
    <s v="StEphaniE REYNolDs"/>
    <n v="48"/>
    <x v="1"/>
    <x v="3"/>
    <x v="5"/>
    <d v="2022-12-27T00:00:00"/>
    <s v="Savannah Colon"/>
    <s v="Baker Conrad and Andrews,"/>
    <x v="0"/>
    <n v="1133.5899999999999"/>
    <n v="343"/>
    <x v="0"/>
    <d v="2022-12-31T00:00:00"/>
    <s v="Penicillin"/>
    <x v="2"/>
    <n v="4"/>
    <x v="3"/>
    <s v="Low"/>
    <n v="12"/>
    <x v="2"/>
    <s v="December"/>
  </r>
  <r>
    <s v="AnNA NORMaN"/>
    <n v="29"/>
    <x v="0"/>
    <x v="6"/>
    <x v="1"/>
    <d v="2023-06-16T00:00:00"/>
    <s v="Jessica Parks MD"/>
    <s v="Perkins, Salazar and Johnson"/>
    <x v="0"/>
    <n v="24340.32"/>
    <n v="310"/>
    <x v="1"/>
    <d v="2023-07-14T00:00:00"/>
    <s v="Aspirin"/>
    <x v="1"/>
    <n v="28"/>
    <x v="0"/>
    <s v="Medium"/>
    <n v="6"/>
    <x v="4"/>
    <s v="June"/>
  </r>
  <r>
    <s v="MAria haYeS"/>
    <n v="76"/>
    <x v="0"/>
    <x v="1"/>
    <x v="5"/>
    <d v="2023-11-06T00:00:00"/>
    <s v="Joshua Singleton"/>
    <s v="Johnson-Perez"/>
    <x v="0"/>
    <n v="39390.94"/>
    <n v="319"/>
    <x v="2"/>
    <d v="2023-11-21T00:00:00"/>
    <s v="Aspirin"/>
    <x v="2"/>
    <n v="15"/>
    <x v="2"/>
    <s v="High"/>
    <n v="11"/>
    <x v="4"/>
    <s v="November"/>
  </r>
  <r>
    <s v="toNya riLEy mD"/>
    <n v="23"/>
    <x v="1"/>
    <x v="1"/>
    <x v="4"/>
    <d v="2023-12-26T00:00:00"/>
    <s v="Vincent Ramirez"/>
    <s v="Powell-Werner"/>
    <x v="1"/>
    <n v="17012.509999999998"/>
    <n v="121"/>
    <x v="2"/>
    <d v="2024-01-22T00:00:00"/>
    <s v="Penicillin"/>
    <x v="0"/>
    <n v="27"/>
    <x v="0"/>
    <s v="Medium"/>
    <n v="12"/>
    <x v="4"/>
    <s v="December"/>
  </r>
  <r>
    <s v="REgiNa DUnn"/>
    <n v="33"/>
    <x v="0"/>
    <x v="0"/>
    <x v="3"/>
    <d v="2023-02-10T00:00:00"/>
    <s v="Natasha Smith"/>
    <s v="Morales Group"/>
    <x v="4"/>
    <n v="14493.61"/>
    <n v="166"/>
    <x v="1"/>
    <d v="2023-03-05T00:00:00"/>
    <s v="Penicillin"/>
    <x v="1"/>
    <n v="23"/>
    <x v="0"/>
    <s v="Medium"/>
    <n v="2"/>
    <x v="4"/>
    <s v="February"/>
  </r>
  <r>
    <s v="mIcHael JACoBS"/>
    <n v="34"/>
    <x v="0"/>
    <x v="3"/>
    <x v="4"/>
    <d v="2020-07-01T00:00:00"/>
    <s v="John Sparks"/>
    <s v="and Fernandez, Wilson Morrison"/>
    <x v="2"/>
    <n v="32679.27"/>
    <n v="397"/>
    <x v="1"/>
    <d v="2020-07-10T00:00:00"/>
    <s v="Paracetamol"/>
    <x v="0"/>
    <n v="9"/>
    <x v="0"/>
    <s v="High"/>
    <n v="7"/>
    <x v="3"/>
    <s v="July"/>
  </r>
  <r>
    <s v="jaSon mOOrE md"/>
    <n v="44"/>
    <x v="1"/>
    <x v="4"/>
    <x v="1"/>
    <d v="2023-09-21T00:00:00"/>
    <s v="Michelle Gutierrez"/>
    <s v="Mayo and Sons"/>
    <x v="3"/>
    <n v="6232"/>
    <n v="186"/>
    <x v="1"/>
    <d v="2023-09-25T00:00:00"/>
    <s v="Ibuprofen"/>
    <x v="1"/>
    <n v="4"/>
    <x v="3"/>
    <s v="Low"/>
    <n v="9"/>
    <x v="4"/>
    <s v="September"/>
  </r>
  <r>
    <s v="eRiC HALl"/>
    <n v="84"/>
    <x v="0"/>
    <x v="6"/>
    <x v="2"/>
    <d v="2020-11-25T00:00:00"/>
    <s v="Rachel Williams"/>
    <s v="Huffman Hall Orozco, and"/>
    <x v="4"/>
    <n v="22982.25"/>
    <n v="320"/>
    <x v="0"/>
    <d v="2020-12-02T00:00:00"/>
    <s v="Ibuprofen"/>
    <x v="2"/>
    <n v="7"/>
    <x v="2"/>
    <s v="Medium"/>
    <n v="11"/>
    <x v="3"/>
    <s v="November"/>
  </r>
  <r>
    <s v="MALIk MARtINeZ"/>
    <n v="25"/>
    <x v="1"/>
    <x v="1"/>
    <x v="0"/>
    <d v="2020-07-10T00:00:00"/>
    <s v="Sergio Shelton"/>
    <s v="White-Buchanan"/>
    <x v="2"/>
    <n v="28213.82"/>
    <n v="296"/>
    <x v="0"/>
    <d v="2020-07-18T00:00:00"/>
    <s v="Aspirin"/>
    <x v="2"/>
    <n v="8"/>
    <x v="0"/>
    <s v="Medium"/>
    <n v="7"/>
    <x v="3"/>
    <s v="July"/>
  </r>
  <r>
    <s v="LisA KENNEdY"/>
    <n v="42"/>
    <x v="0"/>
    <x v="0"/>
    <x v="5"/>
    <d v="2022-12-24T00:00:00"/>
    <s v="Mr. Michael White MD"/>
    <s v="and Dixon Taylor Hunter,"/>
    <x v="4"/>
    <n v="10645.57"/>
    <n v="251"/>
    <x v="1"/>
    <d v="2023-01-06T00:00:00"/>
    <s v="Ibuprofen"/>
    <x v="0"/>
    <n v="13"/>
    <x v="3"/>
    <s v="Medium"/>
    <n v="12"/>
    <x v="2"/>
    <s v="December"/>
  </r>
  <r>
    <s v="kRIstIn ocHOA"/>
    <n v="57"/>
    <x v="0"/>
    <x v="6"/>
    <x v="5"/>
    <d v="2019-10-05T00:00:00"/>
    <s v="Mary Drake"/>
    <s v="Anderson and Medina, Sullivan"/>
    <x v="0"/>
    <n v="35041.03"/>
    <n v="299"/>
    <x v="2"/>
    <d v="2019-10-20T00:00:00"/>
    <s v="Lipitor"/>
    <x v="0"/>
    <n v="15"/>
    <x v="1"/>
    <s v="High"/>
    <n v="10"/>
    <x v="1"/>
    <s v="October"/>
  </r>
  <r>
    <s v="joSeph ZuNiGA"/>
    <n v="75"/>
    <x v="1"/>
    <x v="7"/>
    <x v="5"/>
    <d v="2022-03-13T00:00:00"/>
    <s v="Tonya Wade"/>
    <s v="PLC Dixon"/>
    <x v="4"/>
    <n v="45980.29"/>
    <n v="101"/>
    <x v="1"/>
    <d v="2022-03-26T00:00:00"/>
    <s v="Aspirin"/>
    <x v="1"/>
    <n v="13"/>
    <x v="2"/>
    <s v="High"/>
    <n v="3"/>
    <x v="2"/>
    <s v="March"/>
  </r>
  <r>
    <s v="kYLe TYlER"/>
    <n v="24"/>
    <x v="1"/>
    <x v="4"/>
    <x v="1"/>
    <d v="2020-05-15T00:00:00"/>
    <s v="Charles Torres"/>
    <s v="Bowman-Keith"/>
    <x v="3"/>
    <n v="25163.82"/>
    <n v="142"/>
    <x v="2"/>
    <d v="2020-06-10T00:00:00"/>
    <s v="Ibuprofen"/>
    <x v="0"/>
    <n v="26"/>
    <x v="0"/>
    <s v="Medium"/>
    <n v="5"/>
    <x v="3"/>
    <s v="May"/>
  </r>
  <r>
    <s v="eric duNCan"/>
    <n v="43"/>
    <x v="1"/>
    <x v="5"/>
    <x v="3"/>
    <d v="2020-12-02T00:00:00"/>
    <s v="Jennifer Freeman"/>
    <s v="Tyler PLC"/>
    <x v="3"/>
    <n v="43670.38"/>
    <n v="181"/>
    <x v="2"/>
    <d v="2020-12-23T00:00:00"/>
    <s v="Aspirin"/>
    <x v="0"/>
    <n v="21"/>
    <x v="3"/>
    <s v="High"/>
    <n v="12"/>
    <x v="3"/>
    <s v="December"/>
  </r>
  <r>
    <s v="raChel roMERo"/>
    <n v="22"/>
    <x v="0"/>
    <x v="4"/>
    <x v="3"/>
    <d v="2024-01-08T00:00:00"/>
    <s v="Reginald Becker"/>
    <s v="Velazquez-Patton"/>
    <x v="3"/>
    <n v="33706.6"/>
    <n v="282"/>
    <x v="1"/>
    <d v="2024-01-15T00:00:00"/>
    <s v="Aspirin"/>
    <x v="1"/>
    <n v="7"/>
    <x v="0"/>
    <s v="High"/>
    <n v="1"/>
    <x v="0"/>
    <s v="January"/>
  </r>
  <r>
    <s v="mIcHael anDeRson"/>
    <n v="64"/>
    <x v="1"/>
    <x v="5"/>
    <x v="5"/>
    <d v="2019-08-16T00:00:00"/>
    <s v="Charles Webb"/>
    <s v="Bass Inc"/>
    <x v="1"/>
    <n v="5549.79"/>
    <n v="302"/>
    <x v="1"/>
    <d v="2019-09-06T00:00:00"/>
    <s v="Ibuprofen"/>
    <x v="1"/>
    <n v="21"/>
    <x v="1"/>
    <s v="Low"/>
    <n v="8"/>
    <x v="1"/>
    <s v="August"/>
  </r>
  <r>
    <s v="emILY clARK"/>
    <n v="66"/>
    <x v="1"/>
    <x v="4"/>
    <x v="5"/>
    <d v="2023-03-23T00:00:00"/>
    <s v="Emily Perez"/>
    <s v="Newton, Smith Ruiz and"/>
    <x v="0"/>
    <n v="49078.47"/>
    <n v="389"/>
    <x v="2"/>
    <d v="2023-04-19T00:00:00"/>
    <s v="Penicillin"/>
    <x v="2"/>
    <n v="27"/>
    <x v="1"/>
    <s v="High"/>
    <n v="3"/>
    <x v="4"/>
    <s v="March"/>
  </r>
  <r>
    <s v="danIeL mCKINnEy"/>
    <n v="19"/>
    <x v="0"/>
    <x v="3"/>
    <x v="1"/>
    <d v="2020-01-20T00:00:00"/>
    <s v="Rachel Thomas"/>
    <s v="Graham-Fisher"/>
    <x v="3"/>
    <n v="23687.99"/>
    <n v="481"/>
    <x v="1"/>
    <d v="2020-02-11T00:00:00"/>
    <s v="Ibuprofen"/>
    <x v="0"/>
    <n v="22"/>
    <x v="0"/>
    <s v="Medium"/>
    <n v="1"/>
    <x v="3"/>
    <s v="January"/>
  </r>
  <r>
    <s v="BOnnIe WILlIaMS"/>
    <n v="79"/>
    <x v="1"/>
    <x v="0"/>
    <x v="2"/>
    <d v="2024-01-23T00:00:00"/>
    <s v="Christopher Flores"/>
    <s v="Scott Ltd"/>
    <x v="3"/>
    <n v="17720.32"/>
    <n v="275"/>
    <x v="2"/>
    <d v="2024-02-22T00:00:00"/>
    <s v="Paracetamol"/>
    <x v="2"/>
    <n v="30"/>
    <x v="2"/>
    <s v="Medium"/>
    <n v="1"/>
    <x v="0"/>
    <s v="January"/>
  </r>
  <r>
    <s v="MARcUs henry"/>
    <n v="76"/>
    <x v="0"/>
    <x v="0"/>
    <x v="3"/>
    <d v="2022-12-20T00:00:00"/>
    <s v="Jennifer Stevenson"/>
    <s v="Rosales-Sweeney"/>
    <x v="3"/>
    <n v="27361.25"/>
    <n v="231"/>
    <x v="1"/>
    <d v="2023-01-02T00:00:00"/>
    <s v="Paracetamol"/>
    <x v="0"/>
    <n v="13"/>
    <x v="2"/>
    <s v="Medium"/>
    <n v="12"/>
    <x v="2"/>
    <s v="December"/>
  </r>
  <r>
    <s v="katheRiNE HART"/>
    <n v="37"/>
    <x v="1"/>
    <x v="1"/>
    <x v="1"/>
    <d v="2021-08-10T00:00:00"/>
    <s v="Matthew Garcia"/>
    <s v="Larson Andrews, and Lynch"/>
    <x v="3"/>
    <n v="39265.65"/>
    <n v="350"/>
    <x v="2"/>
    <d v="2021-09-03T00:00:00"/>
    <s v="Ibuprofen"/>
    <x v="0"/>
    <n v="24"/>
    <x v="3"/>
    <s v="High"/>
    <n v="8"/>
    <x v="5"/>
    <s v="August"/>
  </r>
  <r>
    <s v="MIchelle pIeRCE"/>
    <n v="62"/>
    <x v="0"/>
    <x v="7"/>
    <x v="5"/>
    <d v="2020-11-23T00:00:00"/>
    <s v="Brett Meyer"/>
    <s v="PLC York"/>
    <x v="2"/>
    <n v="32868.080000000002"/>
    <n v="114"/>
    <x v="1"/>
    <d v="2020-11-28T00:00:00"/>
    <s v="Paracetamol"/>
    <x v="1"/>
    <n v="5"/>
    <x v="1"/>
    <s v="High"/>
    <n v="11"/>
    <x v="3"/>
    <s v="November"/>
  </r>
  <r>
    <s v="Julie Mejia"/>
    <n v="80"/>
    <x v="0"/>
    <x v="2"/>
    <x v="3"/>
    <d v="2020-02-10T00:00:00"/>
    <s v="David Murphy"/>
    <s v="Kelly-Watson"/>
    <x v="0"/>
    <n v="22032.39"/>
    <n v="262"/>
    <x v="1"/>
    <d v="2020-02-29T00:00:00"/>
    <s v="Ibuprofen"/>
    <x v="0"/>
    <n v="19"/>
    <x v="2"/>
    <s v="Medium"/>
    <n v="2"/>
    <x v="3"/>
    <s v="February"/>
  </r>
  <r>
    <s v="cAMeRoN sAnChEz"/>
    <n v="49"/>
    <x v="1"/>
    <x v="1"/>
    <x v="2"/>
    <d v="2019-06-04T00:00:00"/>
    <s v="Erin Henson"/>
    <s v="Smith Gonzalez Robinson, and"/>
    <x v="0"/>
    <n v="43165.69"/>
    <n v="428"/>
    <x v="2"/>
    <d v="2019-06-17T00:00:00"/>
    <s v="Ibuprofen"/>
    <x v="2"/>
    <n v="13"/>
    <x v="3"/>
    <s v="High"/>
    <n v="6"/>
    <x v="1"/>
    <s v="June"/>
  </r>
  <r>
    <s v="davId Vincent"/>
    <n v="66"/>
    <x v="1"/>
    <x v="3"/>
    <x v="1"/>
    <d v="2023-09-24T00:00:00"/>
    <s v="Katrina Fuentes"/>
    <s v="Cook-Taylor"/>
    <x v="0"/>
    <n v="1870.61"/>
    <n v="234"/>
    <x v="1"/>
    <d v="2023-10-11T00:00:00"/>
    <s v="Penicillin"/>
    <x v="1"/>
    <n v="17"/>
    <x v="1"/>
    <s v="Low"/>
    <n v="9"/>
    <x v="4"/>
    <s v="September"/>
  </r>
  <r>
    <s v="MeLiSSA gOMez"/>
    <n v="50"/>
    <x v="0"/>
    <x v="0"/>
    <x v="2"/>
    <d v="2021-08-16T00:00:00"/>
    <s v="Harold Jackson"/>
    <s v="Robinson-Reyes"/>
    <x v="0"/>
    <n v="50254.2"/>
    <n v="210"/>
    <x v="2"/>
    <d v="2021-08-20T00:00:00"/>
    <s v="Aspirin"/>
    <x v="1"/>
    <n v="4"/>
    <x v="3"/>
    <s v="High"/>
    <n v="8"/>
    <x v="5"/>
    <s v="August"/>
  </r>
  <r>
    <s v="AMAnDa pONCe"/>
    <n v="39"/>
    <x v="0"/>
    <x v="5"/>
    <x v="5"/>
    <d v="2020-07-06T00:00:00"/>
    <s v="Christopher Merritt"/>
    <s v="Reid Inc"/>
    <x v="2"/>
    <n v="23159.66"/>
    <n v="333"/>
    <x v="2"/>
    <d v="2020-07-22T00:00:00"/>
    <s v="Penicillin"/>
    <x v="1"/>
    <n v="16"/>
    <x v="3"/>
    <s v="Medium"/>
    <n v="7"/>
    <x v="3"/>
    <s v="July"/>
  </r>
  <r>
    <s v="CArOl GOMEz"/>
    <n v="31"/>
    <x v="1"/>
    <x v="0"/>
    <x v="2"/>
    <d v="2022-12-07T00:00:00"/>
    <s v="Haley Kim"/>
    <s v="Kemp and Taylor, Jones"/>
    <x v="2"/>
    <n v="11469.39"/>
    <n v="391"/>
    <x v="2"/>
    <d v="2022-12-29T00:00:00"/>
    <s v="Paracetamol"/>
    <x v="2"/>
    <n v="22"/>
    <x v="0"/>
    <s v="Medium"/>
    <n v="12"/>
    <x v="2"/>
    <s v="December"/>
  </r>
  <r>
    <s v="cHRISTopHEr PalmER"/>
    <n v="84"/>
    <x v="0"/>
    <x v="5"/>
    <x v="0"/>
    <d v="2023-12-29T00:00:00"/>
    <s v="Dr. Steven Johnson"/>
    <s v="Richards-Mack"/>
    <x v="2"/>
    <n v="35435.17"/>
    <n v="458"/>
    <x v="2"/>
    <d v="2024-01-16T00:00:00"/>
    <s v="Ibuprofen"/>
    <x v="2"/>
    <n v="18"/>
    <x v="2"/>
    <s v="High"/>
    <n v="12"/>
    <x v="4"/>
    <s v="December"/>
  </r>
  <r>
    <s v="PAUL Hahn"/>
    <n v="71"/>
    <x v="0"/>
    <x v="7"/>
    <x v="0"/>
    <d v="2023-02-16T00:00:00"/>
    <s v="Erin Cole"/>
    <s v="and Smith Harmon, Marshall"/>
    <x v="3"/>
    <n v="26139.79"/>
    <n v="195"/>
    <x v="0"/>
    <d v="2023-02-25T00:00:00"/>
    <s v="Paracetamol"/>
    <x v="2"/>
    <n v="9"/>
    <x v="2"/>
    <s v="Medium"/>
    <n v="2"/>
    <x v="4"/>
    <s v="February"/>
  </r>
  <r>
    <s v="aSHLeY MOORe"/>
    <n v="79"/>
    <x v="0"/>
    <x v="6"/>
    <x v="0"/>
    <d v="2022-05-12T00:00:00"/>
    <s v="Breanna Nielsen"/>
    <s v="Velasquez and Walker Russo,"/>
    <x v="3"/>
    <n v="21296.52"/>
    <n v="214"/>
    <x v="1"/>
    <d v="2022-05-16T00:00:00"/>
    <s v="Paracetamol"/>
    <x v="2"/>
    <n v="4"/>
    <x v="2"/>
    <s v="Medium"/>
    <n v="5"/>
    <x v="2"/>
    <s v="May"/>
  </r>
  <r>
    <s v="lINDa haMiLTOn"/>
    <n v="56"/>
    <x v="0"/>
    <x v="3"/>
    <x v="5"/>
    <d v="2023-09-20T00:00:00"/>
    <s v="John Smith"/>
    <s v="Harrington, and Owens Preston"/>
    <x v="3"/>
    <n v="8421.92"/>
    <n v="409"/>
    <x v="1"/>
    <d v="2023-09-25T00:00:00"/>
    <s v="Paracetamol"/>
    <x v="1"/>
    <n v="5"/>
    <x v="1"/>
    <s v="Low"/>
    <n v="9"/>
    <x v="4"/>
    <s v="September"/>
  </r>
  <r>
    <s v="robiN coX"/>
    <n v="36"/>
    <x v="0"/>
    <x v="7"/>
    <x v="1"/>
    <d v="2020-01-11T00:00:00"/>
    <s v="Frank Gonzalez"/>
    <s v="Downs PLC"/>
    <x v="4"/>
    <n v="23892.55"/>
    <n v="268"/>
    <x v="1"/>
    <d v="2020-01-16T00:00:00"/>
    <s v="Aspirin"/>
    <x v="0"/>
    <n v="5"/>
    <x v="3"/>
    <s v="Medium"/>
    <n v="1"/>
    <x v="3"/>
    <s v="January"/>
  </r>
  <r>
    <s v="AnthoNY HalL"/>
    <n v="38"/>
    <x v="0"/>
    <x v="7"/>
    <x v="1"/>
    <d v="2022-03-30T00:00:00"/>
    <s v="Matthew Williams"/>
    <s v="Zhang Long Eaton, and"/>
    <x v="0"/>
    <n v="8171.46"/>
    <n v="279"/>
    <x v="2"/>
    <d v="2022-04-26T00:00:00"/>
    <s v="Ibuprofen"/>
    <x v="1"/>
    <n v="27"/>
    <x v="3"/>
    <s v="Low"/>
    <n v="3"/>
    <x v="2"/>
    <s v="March"/>
  </r>
  <r>
    <s v="roberT smitH"/>
    <n v="21"/>
    <x v="0"/>
    <x v="4"/>
    <x v="5"/>
    <d v="2020-05-11T00:00:00"/>
    <s v="Jonathan Gray"/>
    <s v="PLC Mills"/>
    <x v="3"/>
    <n v="23457.31"/>
    <n v="322"/>
    <x v="2"/>
    <d v="2020-05-20T00:00:00"/>
    <s v="Lipitor"/>
    <x v="0"/>
    <n v="9"/>
    <x v="0"/>
    <s v="Medium"/>
    <n v="5"/>
    <x v="3"/>
    <s v="May"/>
  </r>
  <r>
    <s v="dEREK CARTER"/>
    <n v="55"/>
    <x v="1"/>
    <x v="3"/>
    <x v="0"/>
    <d v="2022-01-20T00:00:00"/>
    <s v="Timothy Rodriguez"/>
    <s v="Hoffman Cox Mcdonald, and"/>
    <x v="4"/>
    <n v="25787.439999999999"/>
    <n v="205"/>
    <x v="1"/>
    <d v="2022-02-16T00:00:00"/>
    <s v="Paracetamol"/>
    <x v="0"/>
    <n v="27"/>
    <x v="3"/>
    <s v="Medium"/>
    <n v="1"/>
    <x v="2"/>
    <s v="January"/>
  </r>
  <r>
    <s v="HEAthER MAY"/>
    <n v="79"/>
    <x v="1"/>
    <x v="2"/>
    <x v="4"/>
    <d v="2019-11-13T00:00:00"/>
    <s v="Victor Welch"/>
    <s v="Carpenter and Sons"/>
    <x v="0"/>
    <n v="28525.52"/>
    <n v="243"/>
    <x v="0"/>
    <d v="2019-11-24T00:00:00"/>
    <s v="Aspirin"/>
    <x v="2"/>
    <n v="11"/>
    <x v="2"/>
    <s v="Medium"/>
    <n v="11"/>
    <x v="1"/>
    <s v="November"/>
  </r>
  <r>
    <s v="pETer gOnzAlEZ"/>
    <n v="55"/>
    <x v="0"/>
    <x v="5"/>
    <x v="5"/>
    <d v="2021-02-03T00:00:00"/>
    <s v="Robert Adams MD"/>
    <s v="Collins and Moore Chan,"/>
    <x v="3"/>
    <n v="17182.87"/>
    <n v="408"/>
    <x v="1"/>
    <d v="2021-02-20T00:00:00"/>
    <s v="Lipitor"/>
    <x v="2"/>
    <n v="17"/>
    <x v="3"/>
    <s v="Medium"/>
    <n v="2"/>
    <x v="5"/>
    <s v="February"/>
  </r>
  <r>
    <s v="chrIs flEtCheR"/>
    <n v="24"/>
    <x v="0"/>
    <x v="4"/>
    <x v="3"/>
    <d v="2020-10-24T00:00:00"/>
    <s v="Andrew Jefferson"/>
    <s v="and Wood Lewis, Monroe"/>
    <x v="4"/>
    <n v="20980.3"/>
    <n v="106"/>
    <x v="2"/>
    <d v="2020-11-15T00:00:00"/>
    <s v="Aspirin"/>
    <x v="1"/>
    <n v="22"/>
    <x v="0"/>
    <s v="Medium"/>
    <n v="10"/>
    <x v="3"/>
    <s v="October"/>
  </r>
  <r>
    <s v="sHIRley wiLkinsoN"/>
    <n v="39"/>
    <x v="1"/>
    <x v="3"/>
    <x v="4"/>
    <d v="2022-10-03T00:00:00"/>
    <s v="Sharon Hensley"/>
    <s v="and Keller, Ortega Miller"/>
    <x v="1"/>
    <n v="4243.2"/>
    <n v="138"/>
    <x v="0"/>
    <d v="2022-10-06T00:00:00"/>
    <s v="Ibuprofen"/>
    <x v="2"/>
    <n v="3"/>
    <x v="3"/>
    <s v="Low"/>
    <n v="10"/>
    <x v="2"/>
    <s v="October"/>
  </r>
  <r>
    <s v="COurtNey FaRRelL"/>
    <n v="63"/>
    <x v="1"/>
    <x v="6"/>
    <x v="0"/>
    <d v="2023-12-24T00:00:00"/>
    <s v="Eugene Branch"/>
    <s v="Austin, and Reynolds Duran"/>
    <x v="4"/>
    <n v="40137.79"/>
    <n v="467"/>
    <x v="2"/>
    <d v="2024-01-02T00:00:00"/>
    <s v="Ibuprofen"/>
    <x v="0"/>
    <n v="9"/>
    <x v="1"/>
    <s v="High"/>
    <n v="12"/>
    <x v="4"/>
    <s v="December"/>
  </r>
  <r>
    <s v="aNDReA WiLliS"/>
    <n v="26"/>
    <x v="0"/>
    <x v="5"/>
    <x v="3"/>
    <d v="2023-11-18T00:00:00"/>
    <s v="Anthony Greer"/>
    <s v="Lopez LLC"/>
    <x v="1"/>
    <n v="30676.44"/>
    <n v="290"/>
    <x v="2"/>
    <d v="2023-11-26T00:00:00"/>
    <s v="Ibuprofen"/>
    <x v="0"/>
    <n v="8"/>
    <x v="0"/>
    <s v="High"/>
    <n v="11"/>
    <x v="4"/>
    <s v="November"/>
  </r>
  <r>
    <s v="cHAD huFF"/>
    <n v="76"/>
    <x v="1"/>
    <x v="4"/>
    <x v="4"/>
    <d v="2024-03-12T00:00:00"/>
    <s v="Bob Moyer"/>
    <s v="Clark-Tran"/>
    <x v="2"/>
    <n v="45594.89"/>
    <n v="192"/>
    <x v="0"/>
    <d v="2024-04-09T00:00:00"/>
    <s v="Paracetamol"/>
    <x v="2"/>
    <n v="28"/>
    <x v="2"/>
    <s v="High"/>
    <n v="3"/>
    <x v="0"/>
    <s v="March"/>
  </r>
  <r>
    <s v="dEvin giLBert"/>
    <n v="69"/>
    <x v="0"/>
    <x v="1"/>
    <x v="0"/>
    <d v="2023-04-12T00:00:00"/>
    <s v="Heather Shea"/>
    <s v="Villanueva and Carter Hughes,"/>
    <x v="1"/>
    <n v="29076.63"/>
    <n v="135"/>
    <x v="0"/>
    <d v="2023-05-07T00:00:00"/>
    <s v="Ibuprofen"/>
    <x v="2"/>
    <n v="25"/>
    <x v="1"/>
    <s v="Medium"/>
    <n v="4"/>
    <x v="4"/>
    <s v="April"/>
  </r>
  <r>
    <s v="DOnALD davIS"/>
    <n v="38"/>
    <x v="1"/>
    <x v="3"/>
    <x v="1"/>
    <d v="2021-06-16T00:00:00"/>
    <s v="Nicholas Stevenson"/>
    <s v="Ltd Osborn"/>
    <x v="4"/>
    <n v="5223.5"/>
    <n v="255"/>
    <x v="1"/>
    <d v="2021-07-11T00:00:00"/>
    <s v="Paracetamol"/>
    <x v="2"/>
    <n v="25"/>
    <x v="3"/>
    <s v="Low"/>
    <n v="6"/>
    <x v="5"/>
    <s v="June"/>
  </r>
  <r>
    <s v="KUrT murphy"/>
    <n v="19"/>
    <x v="0"/>
    <x v="5"/>
    <x v="4"/>
    <d v="2021-11-24T00:00:00"/>
    <s v="Laura Guerra"/>
    <s v="LLC Hodge"/>
    <x v="0"/>
    <n v="41840.660000000003"/>
    <n v="176"/>
    <x v="2"/>
    <d v="2021-12-13T00:00:00"/>
    <s v="Penicillin"/>
    <x v="2"/>
    <n v="19"/>
    <x v="0"/>
    <s v="High"/>
    <n v="11"/>
    <x v="5"/>
    <s v="November"/>
  </r>
  <r>
    <s v="SYlvia wEsT"/>
    <n v="61"/>
    <x v="0"/>
    <x v="0"/>
    <x v="1"/>
    <d v="2020-07-06T00:00:00"/>
    <s v="Michele Bradford"/>
    <s v="Lopez and Shepard Smith,"/>
    <x v="0"/>
    <n v="26504.87"/>
    <n v="287"/>
    <x v="1"/>
    <d v="2020-07-22T00:00:00"/>
    <s v="Aspirin"/>
    <x v="0"/>
    <n v="16"/>
    <x v="1"/>
    <s v="Medium"/>
    <n v="7"/>
    <x v="3"/>
    <s v="July"/>
  </r>
  <r>
    <s v="DONaLd vAZQuEZ"/>
    <n v="42"/>
    <x v="1"/>
    <x v="5"/>
    <x v="5"/>
    <d v="2022-06-26T00:00:00"/>
    <s v="Mr. Jesse Cook"/>
    <s v="Moss and Meadows Jones,"/>
    <x v="4"/>
    <n v="7946.13"/>
    <n v="111"/>
    <x v="2"/>
    <d v="2022-07-01T00:00:00"/>
    <s v="Ibuprofen"/>
    <x v="1"/>
    <n v="5"/>
    <x v="3"/>
    <s v="Low"/>
    <n v="6"/>
    <x v="2"/>
    <s v="June"/>
  </r>
  <r>
    <s v="REbeCCA rUsH"/>
    <n v="57"/>
    <x v="0"/>
    <x v="5"/>
    <x v="2"/>
    <d v="2020-07-21T00:00:00"/>
    <s v="Heather Simon"/>
    <s v="Young-Williams"/>
    <x v="4"/>
    <n v="18689.14"/>
    <n v="133"/>
    <x v="0"/>
    <d v="2020-07-31T00:00:00"/>
    <s v="Lipitor"/>
    <x v="0"/>
    <n v="10"/>
    <x v="1"/>
    <s v="Medium"/>
    <n v="7"/>
    <x v="3"/>
    <s v="July"/>
  </r>
  <r>
    <s v="ChrIstoPhER curRY"/>
    <n v="36"/>
    <x v="1"/>
    <x v="2"/>
    <x v="5"/>
    <d v="2019-11-04T00:00:00"/>
    <s v="Larry Mendez"/>
    <s v="Bailey Morgan Frey, and"/>
    <x v="0"/>
    <n v="30051.98"/>
    <n v="482"/>
    <x v="0"/>
    <d v="2019-12-03T00:00:00"/>
    <s v="Ibuprofen"/>
    <x v="2"/>
    <n v="29"/>
    <x v="3"/>
    <s v="High"/>
    <n v="11"/>
    <x v="1"/>
    <s v="November"/>
  </r>
  <r>
    <s v="miCHaeL EdwARds"/>
    <n v="68"/>
    <x v="1"/>
    <x v="4"/>
    <x v="4"/>
    <d v="2021-11-01T00:00:00"/>
    <s v="Taylor Smith"/>
    <s v="Neal Price and Smith,"/>
    <x v="1"/>
    <n v="22913.55"/>
    <n v="124"/>
    <x v="0"/>
    <d v="2021-11-03T00:00:00"/>
    <s v="Paracetamol"/>
    <x v="0"/>
    <n v="2"/>
    <x v="1"/>
    <s v="Medium"/>
    <n v="11"/>
    <x v="5"/>
    <s v="November"/>
  </r>
  <r>
    <s v="cHriSTOPheR ARnoLd"/>
    <n v="25"/>
    <x v="1"/>
    <x v="6"/>
    <x v="1"/>
    <d v="2019-11-17T00:00:00"/>
    <s v="Ian Singleton"/>
    <s v="and Johnson Hobbs Owens,"/>
    <x v="3"/>
    <n v="36238.58"/>
    <n v="131"/>
    <x v="2"/>
    <d v="2019-11-30T00:00:00"/>
    <s v="Ibuprofen"/>
    <x v="1"/>
    <n v="13"/>
    <x v="0"/>
    <s v="High"/>
    <n v="11"/>
    <x v="1"/>
    <s v="November"/>
  </r>
  <r>
    <s v="RAcheL hickmAn"/>
    <n v="37"/>
    <x v="1"/>
    <x v="6"/>
    <x v="1"/>
    <d v="2022-12-19T00:00:00"/>
    <s v="Angela Burton"/>
    <s v="Melton Inc"/>
    <x v="1"/>
    <n v="25217.46"/>
    <n v="352"/>
    <x v="0"/>
    <d v="2023-01-06T00:00:00"/>
    <s v="Aspirin"/>
    <x v="0"/>
    <n v="18"/>
    <x v="3"/>
    <s v="Medium"/>
    <n v="12"/>
    <x v="2"/>
    <s v="December"/>
  </r>
  <r>
    <s v="ashlEY grAy"/>
    <n v="68"/>
    <x v="0"/>
    <x v="1"/>
    <x v="3"/>
    <d v="2020-10-06T00:00:00"/>
    <s v="Lisa Payne"/>
    <s v="and Weber Sons"/>
    <x v="2"/>
    <n v="41548.410000000003"/>
    <n v="124"/>
    <x v="0"/>
    <d v="2020-10-20T00:00:00"/>
    <s v="Aspirin"/>
    <x v="0"/>
    <n v="14"/>
    <x v="1"/>
    <s v="High"/>
    <n v="10"/>
    <x v="3"/>
    <s v="October"/>
  </r>
  <r>
    <s v="eLiZaBeTh PeREz"/>
    <n v="81"/>
    <x v="1"/>
    <x v="5"/>
    <x v="5"/>
    <d v="2022-01-16T00:00:00"/>
    <s v="Sara Perry"/>
    <s v="Chung Rodriguez Bradley, and"/>
    <x v="2"/>
    <n v="7562.39"/>
    <n v="471"/>
    <x v="2"/>
    <d v="2022-01-22T00:00:00"/>
    <s v="Ibuprofen"/>
    <x v="2"/>
    <n v="6"/>
    <x v="2"/>
    <s v="Low"/>
    <n v="1"/>
    <x v="2"/>
    <s v="January"/>
  </r>
  <r>
    <s v="ANgeL RaNDOlPH ddS"/>
    <n v="74"/>
    <x v="1"/>
    <x v="1"/>
    <x v="3"/>
    <d v="2023-07-06T00:00:00"/>
    <s v="Ann Brown"/>
    <s v="White Wilson and Farmer,"/>
    <x v="3"/>
    <n v="386.05"/>
    <n v="165"/>
    <x v="2"/>
    <d v="2023-08-03T00:00:00"/>
    <s v="Aspirin"/>
    <x v="0"/>
    <n v="28"/>
    <x v="2"/>
    <s v="Low"/>
    <n v="7"/>
    <x v="4"/>
    <s v="July"/>
  </r>
  <r>
    <s v="maRk SaUNderS"/>
    <n v="75"/>
    <x v="0"/>
    <x v="3"/>
    <x v="5"/>
    <d v="2021-06-12T00:00:00"/>
    <s v="David Marshall"/>
    <s v="Group Thompson"/>
    <x v="4"/>
    <n v="31491.61"/>
    <n v="347"/>
    <x v="0"/>
    <d v="2021-06-15T00:00:00"/>
    <s v="Ibuprofen"/>
    <x v="2"/>
    <n v="3"/>
    <x v="2"/>
    <s v="High"/>
    <n v="6"/>
    <x v="5"/>
    <s v="June"/>
  </r>
  <r>
    <s v="ChriSTiAn lAnG"/>
    <n v="74"/>
    <x v="1"/>
    <x v="4"/>
    <x v="0"/>
    <d v="2019-08-27T00:00:00"/>
    <s v="Shirley Dawson"/>
    <s v="and Sons Rangel"/>
    <x v="3"/>
    <n v="34224.35"/>
    <n v="228"/>
    <x v="2"/>
    <d v="2019-09-01T00:00:00"/>
    <s v="Lipitor"/>
    <x v="2"/>
    <n v="5"/>
    <x v="2"/>
    <s v="High"/>
    <n v="8"/>
    <x v="1"/>
    <s v="August"/>
  </r>
  <r>
    <s v="Pam perKIns"/>
    <n v="28"/>
    <x v="1"/>
    <x v="5"/>
    <x v="2"/>
    <d v="2022-05-17T00:00:00"/>
    <s v="Susan Hernandez"/>
    <s v="Travis, and Richardson Hampton"/>
    <x v="1"/>
    <n v="23673.72"/>
    <n v="354"/>
    <x v="0"/>
    <d v="2022-06-12T00:00:00"/>
    <s v="Ibuprofen"/>
    <x v="2"/>
    <n v="26"/>
    <x v="0"/>
    <s v="Medium"/>
    <n v="5"/>
    <x v="2"/>
    <s v="May"/>
  </r>
  <r>
    <s v="kAyLA GrEENe"/>
    <n v="35"/>
    <x v="0"/>
    <x v="4"/>
    <x v="4"/>
    <d v="2020-10-02T00:00:00"/>
    <s v="Gina Edwards"/>
    <s v="and Wilson Matthews, Faulkner"/>
    <x v="3"/>
    <n v="40302"/>
    <n v="250"/>
    <x v="2"/>
    <d v="2020-10-17T00:00:00"/>
    <s v="Ibuprofen"/>
    <x v="1"/>
    <n v="15"/>
    <x v="0"/>
    <s v="High"/>
    <n v="10"/>
    <x v="3"/>
    <s v="October"/>
  </r>
  <r>
    <s v="mIcHAEl daVId"/>
    <n v="79"/>
    <x v="1"/>
    <x v="3"/>
    <x v="3"/>
    <d v="2021-08-20T00:00:00"/>
    <s v="Laura Howell"/>
    <s v="Group Bailey"/>
    <x v="1"/>
    <n v="37116.160000000003"/>
    <n v="225"/>
    <x v="2"/>
    <d v="2021-09-16T00:00:00"/>
    <s v="Lipitor"/>
    <x v="2"/>
    <n v="27"/>
    <x v="2"/>
    <s v="High"/>
    <n v="8"/>
    <x v="5"/>
    <s v="August"/>
  </r>
  <r>
    <s v="aLeXIs mCcALl"/>
    <n v="59"/>
    <x v="1"/>
    <x v="7"/>
    <x v="3"/>
    <d v="2019-11-05T00:00:00"/>
    <s v="Scott Beltran"/>
    <s v="Rosales-Johnson"/>
    <x v="2"/>
    <n v="38606.959999999999"/>
    <n v="357"/>
    <x v="2"/>
    <d v="2019-11-17T00:00:00"/>
    <s v="Aspirin"/>
    <x v="1"/>
    <n v="12"/>
    <x v="1"/>
    <s v="High"/>
    <n v="11"/>
    <x v="1"/>
    <s v="November"/>
  </r>
  <r>
    <s v="mr. brandON perEz md"/>
    <n v="84"/>
    <x v="1"/>
    <x v="7"/>
    <x v="5"/>
    <d v="2024-02-06T00:00:00"/>
    <s v="William Campbell"/>
    <s v="Bush-Brown"/>
    <x v="4"/>
    <n v="17813.93"/>
    <n v="140"/>
    <x v="1"/>
    <d v="2024-02-28T00:00:00"/>
    <s v="Penicillin"/>
    <x v="1"/>
    <n v="22"/>
    <x v="2"/>
    <s v="Medium"/>
    <n v="2"/>
    <x v="0"/>
    <s v="February"/>
  </r>
  <r>
    <s v="dr. jeffREy ColE"/>
    <n v="36"/>
    <x v="1"/>
    <x v="7"/>
    <x v="3"/>
    <d v="2024-02-07T00:00:00"/>
    <s v="Ethan Brock"/>
    <s v="Saunders-Smith"/>
    <x v="2"/>
    <n v="20773.02"/>
    <n v="352"/>
    <x v="0"/>
    <d v="2024-02-21T00:00:00"/>
    <s v="Ibuprofen"/>
    <x v="0"/>
    <n v="14"/>
    <x v="3"/>
    <s v="Medium"/>
    <n v="2"/>
    <x v="0"/>
    <s v="February"/>
  </r>
  <r>
    <s v="maTthEw broWN"/>
    <n v="69"/>
    <x v="0"/>
    <x v="3"/>
    <x v="5"/>
    <d v="2023-06-22T00:00:00"/>
    <s v="Nicholas Gomez"/>
    <s v="and Mckay, Morrow Myers"/>
    <x v="0"/>
    <n v="9609.52"/>
    <n v="404"/>
    <x v="0"/>
    <d v="2023-07-11T00:00:00"/>
    <s v="Lipitor"/>
    <x v="0"/>
    <n v="19"/>
    <x v="1"/>
    <s v="Low"/>
    <n v="6"/>
    <x v="4"/>
    <s v="June"/>
  </r>
  <r>
    <s v="RoBErT sExtON"/>
    <n v="54"/>
    <x v="0"/>
    <x v="2"/>
    <x v="0"/>
    <d v="2020-11-19T00:00:00"/>
    <s v="Richard Buchanan"/>
    <s v="Sherman-Martinez"/>
    <x v="0"/>
    <n v="3771.24"/>
    <n v="426"/>
    <x v="0"/>
    <d v="2020-11-27T00:00:00"/>
    <s v="Penicillin"/>
    <x v="2"/>
    <n v="8"/>
    <x v="3"/>
    <s v="Low"/>
    <n v="11"/>
    <x v="3"/>
    <s v="November"/>
  </r>
  <r>
    <s v="ashLEy vasQUEZ"/>
    <n v="30"/>
    <x v="1"/>
    <x v="3"/>
    <x v="3"/>
    <d v="2021-11-24T00:00:00"/>
    <s v="David Gonzalez"/>
    <s v="Baker, Weber Patton and"/>
    <x v="1"/>
    <n v="51587.94"/>
    <n v="236"/>
    <x v="1"/>
    <d v="2021-12-07T00:00:00"/>
    <s v="Ibuprofen"/>
    <x v="2"/>
    <n v="13"/>
    <x v="0"/>
    <s v="High"/>
    <n v="11"/>
    <x v="5"/>
    <s v="November"/>
  </r>
  <r>
    <s v="mIcHelLe FLYnn"/>
    <n v="31"/>
    <x v="0"/>
    <x v="7"/>
    <x v="0"/>
    <d v="2019-07-26T00:00:00"/>
    <s v="Kristin Schmitt"/>
    <s v="and Fitzgerald Shaw, Edwards"/>
    <x v="1"/>
    <n v="28456.7"/>
    <n v="395"/>
    <x v="2"/>
    <d v="2019-07-29T00:00:00"/>
    <s v="Lipitor"/>
    <x v="1"/>
    <n v="3"/>
    <x v="0"/>
    <s v="Medium"/>
    <n v="7"/>
    <x v="1"/>
    <s v="July"/>
  </r>
  <r>
    <s v="StEVEn trAn"/>
    <n v="81"/>
    <x v="1"/>
    <x v="4"/>
    <x v="0"/>
    <d v="2022-07-05T00:00:00"/>
    <s v="Kelly King"/>
    <s v="Kim-Higgins"/>
    <x v="4"/>
    <n v="33870.120000000003"/>
    <n v="194"/>
    <x v="2"/>
    <d v="2022-07-08T00:00:00"/>
    <s v="Ibuprofen"/>
    <x v="2"/>
    <n v="3"/>
    <x v="2"/>
    <s v="High"/>
    <n v="7"/>
    <x v="2"/>
    <s v="July"/>
  </r>
  <r>
    <s v="JAMeS MilLeR"/>
    <n v="61"/>
    <x v="1"/>
    <x v="3"/>
    <x v="2"/>
    <d v="2019-08-29T00:00:00"/>
    <s v="Jeffery Morgan"/>
    <s v="Morgan, Kramer Munoz and"/>
    <x v="1"/>
    <n v="2304"/>
    <n v="408"/>
    <x v="2"/>
    <d v="2019-09-07T00:00:00"/>
    <s v="Paracetamol"/>
    <x v="0"/>
    <n v="9"/>
    <x v="1"/>
    <s v="Low"/>
    <n v="8"/>
    <x v="1"/>
    <s v="August"/>
  </r>
  <r>
    <s v="Bonnie hiLl"/>
    <n v="52"/>
    <x v="0"/>
    <x v="6"/>
    <x v="4"/>
    <d v="2024-05-02T00:00:00"/>
    <s v="Patricia Fowler"/>
    <s v="Harvey Group"/>
    <x v="2"/>
    <n v="1878.01"/>
    <n v="188"/>
    <x v="2"/>
    <d v="2024-05-21T00:00:00"/>
    <s v="Paracetamol"/>
    <x v="2"/>
    <n v="19"/>
    <x v="3"/>
    <s v="Low"/>
    <n v="5"/>
    <x v="0"/>
    <s v="May"/>
  </r>
  <r>
    <s v="AnTHONy DaviS"/>
    <n v="25"/>
    <x v="0"/>
    <x v="6"/>
    <x v="3"/>
    <d v="2020-05-26T00:00:00"/>
    <s v="David Patterson"/>
    <s v="Mercer-Rogers"/>
    <x v="0"/>
    <n v="19160.990000000002"/>
    <n v="361"/>
    <x v="2"/>
    <d v="2020-05-31T00:00:00"/>
    <s v="Penicillin"/>
    <x v="0"/>
    <n v="5"/>
    <x v="0"/>
    <s v="Medium"/>
    <n v="5"/>
    <x v="3"/>
    <s v="May"/>
  </r>
  <r>
    <s v="DaViD ShEPPArD"/>
    <n v="56"/>
    <x v="0"/>
    <x v="6"/>
    <x v="0"/>
    <d v="2024-03-20T00:00:00"/>
    <s v="Daisy Eaton"/>
    <s v="Duran Sons and"/>
    <x v="0"/>
    <n v="5811.63"/>
    <n v="176"/>
    <x v="0"/>
    <d v="2024-04-06T00:00:00"/>
    <s v="Paracetamol"/>
    <x v="0"/>
    <n v="17"/>
    <x v="1"/>
    <s v="Low"/>
    <n v="3"/>
    <x v="0"/>
    <s v="March"/>
  </r>
  <r>
    <s v="JOdi LAnG"/>
    <n v="44"/>
    <x v="0"/>
    <x v="3"/>
    <x v="2"/>
    <d v="2024-03-27T00:00:00"/>
    <s v="Benjamin Bryant"/>
    <s v="Vaughan Parker and Wagner,"/>
    <x v="1"/>
    <n v="22868.53"/>
    <n v="295"/>
    <x v="2"/>
    <d v="2024-04-08T00:00:00"/>
    <s v="Ibuprofen"/>
    <x v="2"/>
    <n v="12"/>
    <x v="3"/>
    <s v="Medium"/>
    <n v="3"/>
    <x v="0"/>
    <s v="March"/>
  </r>
  <r>
    <s v="VaNeSSa TAylor"/>
    <n v="30"/>
    <x v="1"/>
    <x v="3"/>
    <x v="5"/>
    <d v="2021-03-22T00:00:00"/>
    <s v="Cynthia Velazquez"/>
    <s v="Lee-Jacobson"/>
    <x v="0"/>
    <n v="48281.91"/>
    <n v="415"/>
    <x v="0"/>
    <d v="2021-03-25T00:00:00"/>
    <s v="Ibuprofen"/>
    <x v="2"/>
    <n v="3"/>
    <x v="0"/>
    <s v="High"/>
    <n v="3"/>
    <x v="5"/>
    <s v="March"/>
  </r>
  <r>
    <s v="WAYnE lyncH"/>
    <n v="82"/>
    <x v="0"/>
    <x v="7"/>
    <x v="0"/>
    <d v="2020-10-03T00:00:00"/>
    <s v="William Brock"/>
    <s v="Hayes Robbins and Gallagher,"/>
    <x v="1"/>
    <n v="30562.57"/>
    <n v="185"/>
    <x v="1"/>
    <d v="2020-10-28T00:00:00"/>
    <s v="Paracetamol"/>
    <x v="2"/>
    <n v="25"/>
    <x v="2"/>
    <s v="High"/>
    <n v="10"/>
    <x v="3"/>
    <s v="October"/>
  </r>
  <r>
    <s v="YEsENiA MCfarland"/>
    <n v="67"/>
    <x v="0"/>
    <x v="6"/>
    <x v="1"/>
    <d v="2023-05-17T00:00:00"/>
    <s v="Douglas Lambert"/>
    <s v="Evans and Byrd, Smith"/>
    <x v="1"/>
    <n v="24293.63"/>
    <n v="278"/>
    <x v="1"/>
    <d v="2023-05-31T00:00:00"/>
    <s v="Ibuprofen"/>
    <x v="0"/>
    <n v="14"/>
    <x v="1"/>
    <s v="Medium"/>
    <n v="5"/>
    <x v="4"/>
    <s v="May"/>
  </r>
  <r>
    <s v="KEnNETH WilSON"/>
    <n v="41"/>
    <x v="0"/>
    <x v="1"/>
    <x v="5"/>
    <d v="2022-08-12T00:00:00"/>
    <s v="Alex Mcknight"/>
    <s v="and Howell Sons"/>
    <x v="2"/>
    <n v="5878.78"/>
    <n v="358"/>
    <x v="1"/>
    <d v="2022-08-31T00:00:00"/>
    <s v="Ibuprofen"/>
    <x v="2"/>
    <n v="19"/>
    <x v="3"/>
    <s v="Low"/>
    <n v="8"/>
    <x v="2"/>
    <s v="August"/>
  </r>
  <r>
    <s v="JIlLiAn MArks"/>
    <n v="84"/>
    <x v="0"/>
    <x v="2"/>
    <x v="5"/>
    <d v="2020-06-20T00:00:00"/>
    <s v="Gregory Fox"/>
    <s v="Clements and Scott, Peters"/>
    <x v="3"/>
    <n v="28410.44"/>
    <n v="451"/>
    <x v="0"/>
    <d v="2020-06-22T00:00:00"/>
    <s v="Ibuprofen"/>
    <x v="2"/>
    <n v="2"/>
    <x v="2"/>
    <s v="Medium"/>
    <n v="6"/>
    <x v="3"/>
    <s v="June"/>
  </r>
  <r>
    <s v="MiCHELLe cruz ddS"/>
    <n v="85"/>
    <x v="1"/>
    <x v="4"/>
    <x v="3"/>
    <d v="2023-04-20T00:00:00"/>
    <s v="Carrie Navarro"/>
    <s v="Gomez-Olson"/>
    <x v="1"/>
    <n v="27414.02"/>
    <n v="390"/>
    <x v="1"/>
    <d v="2023-05-05T00:00:00"/>
    <s v="Ibuprofen"/>
    <x v="0"/>
    <n v="15"/>
    <x v="2"/>
    <s v="Medium"/>
    <n v="4"/>
    <x v="4"/>
    <s v="April"/>
  </r>
  <r>
    <s v="CLaREnce fORD jr."/>
    <n v="26"/>
    <x v="1"/>
    <x v="2"/>
    <x v="4"/>
    <d v="2019-10-28T00:00:00"/>
    <s v="Laura Murillo"/>
    <s v="and Medina Morgan, Whitehead"/>
    <x v="2"/>
    <n v="5826.24"/>
    <n v="226"/>
    <x v="1"/>
    <d v="2019-11-21T00:00:00"/>
    <s v="Penicillin"/>
    <x v="2"/>
    <n v="24"/>
    <x v="0"/>
    <s v="Low"/>
    <n v="10"/>
    <x v="1"/>
    <s v="October"/>
  </r>
  <r>
    <s v="DonAlD kaNe"/>
    <n v="49"/>
    <x v="1"/>
    <x v="3"/>
    <x v="2"/>
    <d v="2021-08-31T00:00:00"/>
    <s v="Alyssa Walsh"/>
    <s v="Miller LLC"/>
    <x v="4"/>
    <n v="2133.7399999999998"/>
    <n v="189"/>
    <x v="0"/>
    <d v="2021-09-05T00:00:00"/>
    <s v="Ibuprofen"/>
    <x v="0"/>
    <n v="5"/>
    <x v="3"/>
    <s v="Low"/>
    <n v="8"/>
    <x v="5"/>
    <s v="August"/>
  </r>
  <r>
    <s v="ZaChaRY LARsEN"/>
    <n v="47"/>
    <x v="1"/>
    <x v="1"/>
    <x v="4"/>
    <d v="2021-07-14T00:00:00"/>
    <s v="Jeff Barton"/>
    <s v="Jones-Aguirre"/>
    <x v="0"/>
    <n v="34262.61"/>
    <n v="112"/>
    <x v="0"/>
    <d v="2021-08-06T00:00:00"/>
    <s v="Penicillin"/>
    <x v="1"/>
    <n v="23"/>
    <x v="3"/>
    <s v="High"/>
    <n v="7"/>
    <x v="5"/>
    <s v="July"/>
  </r>
  <r>
    <s v="sHeRYl MaRTinez"/>
    <n v="69"/>
    <x v="0"/>
    <x v="2"/>
    <x v="2"/>
    <d v="2022-01-21T00:00:00"/>
    <s v="Ricky Anderson"/>
    <s v="PLC Gonzalez"/>
    <x v="2"/>
    <n v="44897.05"/>
    <n v="283"/>
    <x v="2"/>
    <d v="2022-02-02T00:00:00"/>
    <s v="Paracetamol"/>
    <x v="0"/>
    <n v="12"/>
    <x v="1"/>
    <s v="High"/>
    <n v="1"/>
    <x v="2"/>
    <s v="January"/>
  </r>
  <r>
    <s v="mr. NaTHAN avILA"/>
    <n v="78"/>
    <x v="1"/>
    <x v="3"/>
    <x v="3"/>
    <d v="2019-09-16T00:00:00"/>
    <s v="John Hurst"/>
    <s v="and Davies Sons"/>
    <x v="4"/>
    <n v="22230.12"/>
    <n v="439"/>
    <x v="0"/>
    <d v="2019-10-16T00:00:00"/>
    <s v="Penicillin"/>
    <x v="0"/>
    <n v="30"/>
    <x v="2"/>
    <s v="Medium"/>
    <n v="9"/>
    <x v="1"/>
    <s v="September"/>
  </r>
  <r>
    <s v="aNnE aNTHONY"/>
    <n v="29"/>
    <x v="0"/>
    <x v="4"/>
    <x v="2"/>
    <d v="2023-01-20T00:00:00"/>
    <s v="Cristina Wyatt"/>
    <s v="Soto-Richmond"/>
    <x v="4"/>
    <n v="32895.1"/>
    <n v="123"/>
    <x v="0"/>
    <d v="2023-01-29T00:00:00"/>
    <s v="Aspirin"/>
    <x v="2"/>
    <n v="9"/>
    <x v="0"/>
    <s v="High"/>
    <n v="1"/>
    <x v="4"/>
    <s v="January"/>
  </r>
  <r>
    <s v="hOlly LaMBERt"/>
    <n v="73"/>
    <x v="0"/>
    <x v="1"/>
    <x v="0"/>
    <d v="2020-01-04T00:00:00"/>
    <s v="Christina Fowler"/>
    <s v="and Morrison Ho Woods,"/>
    <x v="1"/>
    <n v="5349.06"/>
    <n v="469"/>
    <x v="1"/>
    <d v="2020-01-16T00:00:00"/>
    <s v="Paracetamol"/>
    <x v="0"/>
    <n v="12"/>
    <x v="2"/>
    <s v="Low"/>
    <n v="1"/>
    <x v="3"/>
    <s v="January"/>
  </r>
  <r>
    <s v="JAmes rASmuSsen"/>
    <n v="53"/>
    <x v="0"/>
    <x v="5"/>
    <x v="1"/>
    <d v="2024-03-03T00:00:00"/>
    <s v="Gary Barr"/>
    <s v="Lewis and Sons"/>
    <x v="4"/>
    <n v="23235.85"/>
    <n v="442"/>
    <x v="2"/>
    <d v="2024-03-15T00:00:00"/>
    <s v="Aspirin"/>
    <x v="1"/>
    <n v="12"/>
    <x v="3"/>
    <s v="Medium"/>
    <n v="3"/>
    <x v="0"/>
    <s v="March"/>
  </r>
  <r>
    <s v="SaRAH cannON"/>
    <n v="34"/>
    <x v="0"/>
    <x v="4"/>
    <x v="2"/>
    <d v="2019-07-06T00:00:00"/>
    <s v="Frederick Whitney"/>
    <s v="Wood-Sandoval"/>
    <x v="2"/>
    <n v="25683.279999999999"/>
    <n v="295"/>
    <x v="2"/>
    <d v="2019-08-01T00:00:00"/>
    <s v="Paracetamol"/>
    <x v="1"/>
    <n v="26"/>
    <x v="0"/>
    <s v="Medium"/>
    <n v="7"/>
    <x v="1"/>
    <s v="July"/>
  </r>
  <r>
    <s v="melInda tannER"/>
    <n v="38"/>
    <x v="1"/>
    <x v="5"/>
    <x v="1"/>
    <d v="2022-12-01T00:00:00"/>
    <s v="Mary Miller"/>
    <s v="Ball LLC"/>
    <x v="4"/>
    <n v="45560.28"/>
    <n v="309"/>
    <x v="2"/>
    <d v="2022-12-03T00:00:00"/>
    <s v="Ibuprofen"/>
    <x v="0"/>
    <n v="2"/>
    <x v="3"/>
    <s v="High"/>
    <n v="12"/>
    <x v="2"/>
    <s v="December"/>
  </r>
  <r>
    <s v="LauriE josEPh"/>
    <n v="70"/>
    <x v="1"/>
    <x v="0"/>
    <x v="5"/>
    <d v="2020-05-10T00:00:00"/>
    <s v="Evan Lewis"/>
    <s v="Scott LLC"/>
    <x v="3"/>
    <n v="16850.89"/>
    <n v="230"/>
    <x v="0"/>
    <d v="2020-05-30T00:00:00"/>
    <s v="Penicillin"/>
    <x v="2"/>
    <n v="20"/>
    <x v="1"/>
    <s v="Medium"/>
    <n v="5"/>
    <x v="3"/>
    <s v="May"/>
  </r>
  <r>
    <s v="stEPHAnIe hUnteR"/>
    <n v="59"/>
    <x v="1"/>
    <x v="4"/>
    <x v="4"/>
    <d v="2024-03-10T00:00:00"/>
    <s v="Adrienne Howard"/>
    <s v="and Wright, Long Schroeder"/>
    <x v="2"/>
    <n v="34366"/>
    <n v="157"/>
    <x v="2"/>
    <d v="2024-03-16T00:00:00"/>
    <s v="Ibuprofen"/>
    <x v="1"/>
    <n v="6"/>
    <x v="1"/>
    <s v="High"/>
    <n v="3"/>
    <x v="0"/>
    <s v="March"/>
  </r>
  <r>
    <s v="gIna daviS"/>
    <n v="43"/>
    <x v="0"/>
    <x v="4"/>
    <x v="5"/>
    <d v="2020-01-14T00:00:00"/>
    <s v="Daniel Jones"/>
    <s v="Ltd Crawford"/>
    <x v="3"/>
    <n v="11968.02"/>
    <n v="171"/>
    <x v="0"/>
    <d v="2020-01-19T00:00:00"/>
    <s v="Paracetamol"/>
    <x v="1"/>
    <n v="5"/>
    <x v="3"/>
    <s v="Medium"/>
    <n v="1"/>
    <x v="3"/>
    <s v="January"/>
  </r>
  <r>
    <s v="chRiStoPheR sHEA Jr."/>
    <n v="49"/>
    <x v="0"/>
    <x v="0"/>
    <x v="2"/>
    <d v="2020-06-07T00:00:00"/>
    <s v="Craig Wolfe"/>
    <s v="Group Moore"/>
    <x v="4"/>
    <n v="10076.89"/>
    <n v="380"/>
    <x v="2"/>
    <d v="2020-06-26T00:00:00"/>
    <s v="Penicillin"/>
    <x v="1"/>
    <n v="19"/>
    <x v="3"/>
    <s v="Medium"/>
    <n v="6"/>
    <x v="3"/>
    <s v="June"/>
  </r>
  <r>
    <s v="MrS. SabRIna BaLL"/>
    <n v="63"/>
    <x v="0"/>
    <x v="5"/>
    <x v="3"/>
    <d v="2020-11-11T00:00:00"/>
    <s v="Tina Griffin"/>
    <s v="Burch-Marks"/>
    <x v="0"/>
    <n v="44582.82"/>
    <n v="189"/>
    <x v="2"/>
    <d v="2020-11-30T00:00:00"/>
    <s v="Penicillin"/>
    <x v="2"/>
    <n v="19"/>
    <x v="1"/>
    <s v="High"/>
    <n v="11"/>
    <x v="3"/>
    <s v="November"/>
  </r>
  <r>
    <s v="JoyCe McCoRmIcK"/>
    <n v="40"/>
    <x v="1"/>
    <x v="3"/>
    <x v="3"/>
    <d v="2021-05-07T00:00:00"/>
    <s v="John Hansen"/>
    <s v="Koch-Alvarado"/>
    <x v="1"/>
    <n v="30334.99"/>
    <n v="102"/>
    <x v="0"/>
    <d v="2021-05-31T00:00:00"/>
    <s v="Aspirin"/>
    <x v="2"/>
    <n v="24"/>
    <x v="3"/>
    <s v="High"/>
    <n v="5"/>
    <x v="5"/>
    <s v="May"/>
  </r>
  <r>
    <s v="DEVIN bElL"/>
    <n v="80"/>
    <x v="0"/>
    <x v="0"/>
    <x v="5"/>
    <d v="2021-07-13T00:00:00"/>
    <s v="Trevor Evans"/>
    <s v="Garcia Edwards and Daniel,"/>
    <x v="4"/>
    <n v="6196.64"/>
    <n v="484"/>
    <x v="0"/>
    <d v="2021-08-05T00:00:00"/>
    <s v="Penicillin"/>
    <x v="0"/>
    <n v="23"/>
    <x v="2"/>
    <s v="Low"/>
    <n v="7"/>
    <x v="5"/>
    <s v="July"/>
  </r>
  <r>
    <s v="alLISoN rAmiREZ"/>
    <n v="74"/>
    <x v="1"/>
    <x v="6"/>
    <x v="0"/>
    <d v="2024-03-25T00:00:00"/>
    <s v="Mark Johnson"/>
    <s v="Carter-Camacho"/>
    <x v="4"/>
    <n v="45438.91"/>
    <n v="256"/>
    <x v="1"/>
    <d v="2024-04-03T00:00:00"/>
    <s v="Lipitor"/>
    <x v="0"/>
    <n v="9"/>
    <x v="2"/>
    <s v="High"/>
    <n v="3"/>
    <x v="0"/>
    <s v="March"/>
  </r>
  <r>
    <s v="lauRA roMERO"/>
    <n v="70"/>
    <x v="0"/>
    <x v="3"/>
    <x v="2"/>
    <d v="2020-03-25T00:00:00"/>
    <s v="James Hays"/>
    <s v="Malone LLC"/>
    <x v="2"/>
    <n v="43707.18"/>
    <n v="365"/>
    <x v="0"/>
    <d v="2020-04-02T00:00:00"/>
    <s v="Lipitor"/>
    <x v="0"/>
    <n v="8"/>
    <x v="1"/>
    <s v="High"/>
    <n v="3"/>
    <x v="3"/>
    <s v="March"/>
  </r>
  <r>
    <s v="TONi fAULKNer"/>
    <n v="39"/>
    <x v="1"/>
    <x v="5"/>
    <x v="2"/>
    <d v="2023-05-14T00:00:00"/>
    <s v="Nicholas Ferguson"/>
    <s v="Zamora PLC"/>
    <x v="0"/>
    <n v="20105.03"/>
    <n v="286"/>
    <x v="0"/>
    <d v="2023-05-20T00:00:00"/>
    <s v="Penicillin"/>
    <x v="0"/>
    <n v="6"/>
    <x v="3"/>
    <s v="Medium"/>
    <n v="5"/>
    <x v="4"/>
    <s v="May"/>
  </r>
  <r>
    <s v="patrIcia tuRnEr"/>
    <n v="47"/>
    <x v="1"/>
    <x v="4"/>
    <x v="2"/>
    <d v="2022-11-19T00:00:00"/>
    <s v="Mr. Jeffrey Powell"/>
    <s v="Ltd Hernandez"/>
    <x v="3"/>
    <n v="11938.07"/>
    <n v="452"/>
    <x v="0"/>
    <d v="2022-11-23T00:00:00"/>
    <s v="Penicillin"/>
    <x v="0"/>
    <n v="4"/>
    <x v="3"/>
    <s v="Medium"/>
    <n v="11"/>
    <x v="2"/>
    <s v="November"/>
  </r>
  <r>
    <s v="naThaN rAy"/>
    <n v="49"/>
    <x v="0"/>
    <x v="4"/>
    <x v="2"/>
    <d v="2021-03-10T00:00:00"/>
    <s v="Timothy Carter"/>
    <s v="Gomez Ray, and Jones"/>
    <x v="4"/>
    <n v="10836.21"/>
    <n v="481"/>
    <x v="1"/>
    <d v="2021-03-30T00:00:00"/>
    <s v="Lipitor"/>
    <x v="2"/>
    <n v="20"/>
    <x v="3"/>
    <s v="Medium"/>
    <n v="3"/>
    <x v="5"/>
    <s v="March"/>
  </r>
  <r>
    <s v="RYan sAnCHeZ"/>
    <n v="64"/>
    <x v="0"/>
    <x v="2"/>
    <x v="1"/>
    <d v="2020-11-15T00:00:00"/>
    <s v="Jennifer Gonzales"/>
    <s v="Davis, Ray and Thompson"/>
    <x v="4"/>
    <n v="40037.480000000003"/>
    <n v="278"/>
    <x v="0"/>
    <d v="2020-11-20T00:00:00"/>
    <s v="Ibuprofen"/>
    <x v="1"/>
    <n v="5"/>
    <x v="1"/>
    <s v="High"/>
    <n v="11"/>
    <x v="3"/>
    <s v="November"/>
  </r>
  <r>
    <s v="tHOMas DENnIs"/>
    <n v="40"/>
    <x v="0"/>
    <x v="1"/>
    <x v="3"/>
    <d v="2024-01-28T00:00:00"/>
    <s v="Leonard Chen"/>
    <s v="Mckinney-Edwards"/>
    <x v="1"/>
    <n v="42959.3"/>
    <n v="410"/>
    <x v="2"/>
    <d v="2024-02-21T00:00:00"/>
    <s v="Paracetamol"/>
    <x v="2"/>
    <n v="24"/>
    <x v="3"/>
    <s v="High"/>
    <n v="1"/>
    <x v="0"/>
    <s v="January"/>
  </r>
  <r>
    <s v="mR. timOtHY FLoRES"/>
    <n v="77"/>
    <x v="0"/>
    <x v="2"/>
    <x v="5"/>
    <d v="2020-07-07T00:00:00"/>
    <s v="Margaret Ramos"/>
    <s v="Parker-Shannon"/>
    <x v="1"/>
    <n v="40196.83"/>
    <n v="152"/>
    <x v="0"/>
    <d v="2020-08-05T00:00:00"/>
    <s v="Paracetamol"/>
    <x v="2"/>
    <n v="29"/>
    <x v="2"/>
    <s v="High"/>
    <n v="7"/>
    <x v="3"/>
    <s v="July"/>
  </r>
  <r>
    <s v="WeNDy lEVIne"/>
    <n v="61"/>
    <x v="0"/>
    <x v="5"/>
    <x v="4"/>
    <d v="2023-01-22T00:00:00"/>
    <s v="Joy Davis"/>
    <s v="Lawrence LLC"/>
    <x v="2"/>
    <n v="39827.660000000003"/>
    <n v="172"/>
    <x v="2"/>
    <d v="2023-01-27T00:00:00"/>
    <s v="Ibuprofen"/>
    <x v="1"/>
    <n v="5"/>
    <x v="1"/>
    <s v="High"/>
    <n v="1"/>
    <x v="4"/>
    <s v="January"/>
  </r>
  <r>
    <s v="nicOLe gOnzAleZ"/>
    <n v="36"/>
    <x v="1"/>
    <x v="2"/>
    <x v="3"/>
    <d v="2020-05-10T00:00:00"/>
    <s v="Mary Mckee"/>
    <s v="and Thompson Burke, Harrington"/>
    <x v="2"/>
    <n v="3516.85"/>
    <n v="314"/>
    <x v="1"/>
    <d v="2020-05-24T00:00:00"/>
    <s v="Aspirin"/>
    <x v="1"/>
    <n v="14"/>
    <x v="3"/>
    <s v="Low"/>
    <n v="5"/>
    <x v="3"/>
    <s v="May"/>
  </r>
  <r>
    <s v="miCHaeL eLlIsoN"/>
    <n v="19"/>
    <x v="1"/>
    <x v="3"/>
    <x v="2"/>
    <d v="2021-07-09T00:00:00"/>
    <s v="John Evans"/>
    <s v="Johnson Goodman Clark, and"/>
    <x v="4"/>
    <n v="25414.799999999999"/>
    <n v="283"/>
    <x v="2"/>
    <d v="2021-08-04T00:00:00"/>
    <s v="Aspirin"/>
    <x v="2"/>
    <n v="26"/>
    <x v="0"/>
    <s v="Medium"/>
    <n v="7"/>
    <x v="5"/>
    <s v="July"/>
  </r>
  <r>
    <s v="BRAndON dAVIS"/>
    <n v="21"/>
    <x v="0"/>
    <x v="7"/>
    <x v="0"/>
    <d v="2020-06-11T00:00:00"/>
    <s v="Benjamin Payne"/>
    <s v="Doyle Hess, and Dudley"/>
    <x v="4"/>
    <n v="36230.39"/>
    <n v="404"/>
    <x v="2"/>
    <d v="2020-06-21T00:00:00"/>
    <s v="Paracetamol"/>
    <x v="1"/>
    <n v="10"/>
    <x v="0"/>
    <s v="High"/>
    <n v="6"/>
    <x v="3"/>
    <s v="June"/>
  </r>
  <r>
    <s v="vaNESsa GArCia"/>
    <n v="49"/>
    <x v="0"/>
    <x v="5"/>
    <x v="3"/>
    <d v="2020-04-21T00:00:00"/>
    <s v="Jeanne Allen"/>
    <s v="Bass PLC"/>
    <x v="3"/>
    <n v="22427.17"/>
    <n v="197"/>
    <x v="1"/>
    <d v="2020-05-09T00:00:00"/>
    <s v="Lipitor"/>
    <x v="1"/>
    <n v="18"/>
    <x v="3"/>
    <s v="Medium"/>
    <n v="4"/>
    <x v="3"/>
    <s v="April"/>
  </r>
  <r>
    <s v="AUtUmn PEck"/>
    <n v="62"/>
    <x v="1"/>
    <x v="1"/>
    <x v="1"/>
    <d v="2019-10-06T00:00:00"/>
    <s v="Kelly Jackson"/>
    <s v="Willis and Hunt Pope,"/>
    <x v="4"/>
    <n v="39250.449999999997"/>
    <n v="110"/>
    <x v="0"/>
    <d v="2019-11-04T00:00:00"/>
    <s v="Aspirin"/>
    <x v="0"/>
    <n v="29"/>
    <x v="1"/>
    <s v="High"/>
    <n v="10"/>
    <x v="1"/>
    <s v="October"/>
  </r>
  <r>
    <s v="NAthAnIEL REynoLdS"/>
    <n v="54"/>
    <x v="1"/>
    <x v="7"/>
    <x v="4"/>
    <d v="2020-07-11T00:00:00"/>
    <s v="Michael Barber"/>
    <s v="Gray, Hensley and Hanson"/>
    <x v="3"/>
    <n v="5226"/>
    <n v="437"/>
    <x v="0"/>
    <d v="2020-07-31T00:00:00"/>
    <s v="Penicillin"/>
    <x v="0"/>
    <n v="20"/>
    <x v="3"/>
    <s v="Low"/>
    <n v="7"/>
    <x v="3"/>
    <s v="July"/>
  </r>
  <r>
    <s v="JOYCE MoOdY"/>
    <n v="22"/>
    <x v="0"/>
    <x v="5"/>
    <x v="1"/>
    <d v="2022-04-03T00:00:00"/>
    <s v="Steven Clark"/>
    <s v="Moore-Woods"/>
    <x v="4"/>
    <n v="7732.67"/>
    <n v="397"/>
    <x v="2"/>
    <d v="2022-04-17T00:00:00"/>
    <s v="Paracetamol"/>
    <x v="2"/>
    <n v="14"/>
    <x v="0"/>
    <s v="Low"/>
    <n v="4"/>
    <x v="2"/>
    <s v="April"/>
  </r>
  <r>
    <s v="MaRK FuEnTes"/>
    <n v="74"/>
    <x v="0"/>
    <x v="2"/>
    <x v="4"/>
    <d v="2020-01-21T00:00:00"/>
    <s v="Amy Bailey"/>
    <s v="Moore-Franco"/>
    <x v="1"/>
    <n v="11304"/>
    <n v="419"/>
    <x v="0"/>
    <d v="2020-01-29T00:00:00"/>
    <s v="Aspirin"/>
    <x v="2"/>
    <n v="8"/>
    <x v="2"/>
    <s v="Medium"/>
    <n v="1"/>
    <x v="3"/>
    <s v="January"/>
  </r>
  <r>
    <s v="brETT FerGusoN"/>
    <n v="35"/>
    <x v="1"/>
    <x v="1"/>
    <x v="3"/>
    <d v="2022-12-16T00:00:00"/>
    <s v="Cody Houston"/>
    <s v="Hamilton and Sons"/>
    <x v="3"/>
    <n v="38403.58"/>
    <n v="476"/>
    <x v="2"/>
    <d v="2023-01-08T00:00:00"/>
    <s v="Lipitor"/>
    <x v="2"/>
    <n v="23"/>
    <x v="0"/>
    <s v="High"/>
    <n v="12"/>
    <x v="2"/>
    <s v="December"/>
  </r>
  <r>
    <s v="TravIS SiMMOnS"/>
    <n v="20"/>
    <x v="0"/>
    <x v="0"/>
    <x v="3"/>
    <d v="2022-07-20T00:00:00"/>
    <s v="Gregory Nichols"/>
    <s v="Burke Group"/>
    <x v="3"/>
    <n v="14039.89"/>
    <n v="416"/>
    <x v="1"/>
    <d v="2022-07-29T00:00:00"/>
    <s v="Ibuprofen"/>
    <x v="1"/>
    <n v="9"/>
    <x v="0"/>
    <s v="Medium"/>
    <n v="7"/>
    <x v="2"/>
    <s v="July"/>
  </r>
  <r>
    <s v="jEremY fRye"/>
    <n v="18"/>
    <x v="1"/>
    <x v="0"/>
    <x v="0"/>
    <d v="2021-07-25T00:00:00"/>
    <s v="Christopher Odom"/>
    <s v="Anderson LLC"/>
    <x v="3"/>
    <n v="6958.7"/>
    <n v="493"/>
    <x v="2"/>
    <d v="2021-07-28T00:00:00"/>
    <s v="Paracetamol"/>
    <x v="2"/>
    <n v="3"/>
    <x v="0"/>
    <s v="Low"/>
    <n v="7"/>
    <x v="5"/>
    <s v="July"/>
  </r>
  <r>
    <s v="cAmerOn MilLER"/>
    <n v="55"/>
    <x v="1"/>
    <x v="3"/>
    <x v="0"/>
    <d v="2023-07-19T00:00:00"/>
    <s v="Raymond Bell"/>
    <s v="Sims-Jimenez"/>
    <x v="1"/>
    <n v="3254.03"/>
    <n v="404"/>
    <x v="0"/>
    <d v="2023-08-02T00:00:00"/>
    <s v="Lipitor"/>
    <x v="0"/>
    <n v="14"/>
    <x v="3"/>
    <s v="Low"/>
    <n v="7"/>
    <x v="4"/>
    <s v="July"/>
  </r>
  <r>
    <s v="wilLIAM wiLliams dDS"/>
    <n v="66"/>
    <x v="0"/>
    <x v="0"/>
    <x v="2"/>
    <d v="2023-05-22T00:00:00"/>
    <s v="Autumn Fitzgerald"/>
    <s v="Holloway PLC"/>
    <x v="2"/>
    <n v="11855.95"/>
    <n v="123"/>
    <x v="0"/>
    <d v="2023-06-08T00:00:00"/>
    <s v="Ibuprofen"/>
    <x v="1"/>
    <n v="17"/>
    <x v="1"/>
    <s v="Medium"/>
    <n v="5"/>
    <x v="4"/>
    <s v="May"/>
  </r>
  <r>
    <s v="tRACIe WrigHt"/>
    <n v="62"/>
    <x v="1"/>
    <x v="7"/>
    <x v="4"/>
    <d v="2020-07-08T00:00:00"/>
    <s v="James Armstrong"/>
    <s v="Cain-Stone"/>
    <x v="0"/>
    <n v="22368.38"/>
    <n v="461"/>
    <x v="1"/>
    <d v="2020-07-25T00:00:00"/>
    <s v="Ibuprofen"/>
    <x v="1"/>
    <n v="17"/>
    <x v="1"/>
    <s v="Medium"/>
    <n v="7"/>
    <x v="3"/>
    <s v="July"/>
  </r>
  <r>
    <s v="DaVid reyEs"/>
    <n v="43"/>
    <x v="1"/>
    <x v="2"/>
    <x v="3"/>
    <d v="2022-12-27T00:00:00"/>
    <s v="Darius Schaefer"/>
    <s v="Garner Group"/>
    <x v="1"/>
    <n v="48511.65"/>
    <n v="172"/>
    <x v="0"/>
    <d v="2023-01-24T00:00:00"/>
    <s v="Lipitor"/>
    <x v="1"/>
    <n v="28"/>
    <x v="3"/>
    <s v="High"/>
    <n v="12"/>
    <x v="2"/>
    <s v="December"/>
  </r>
  <r>
    <s v="pAiGE KIng"/>
    <n v="24"/>
    <x v="1"/>
    <x v="0"/>
    <x v="2"/>
    <d v="2019-06-21T00:00:00"/>
    <s v="Katherine Dunn"/>
    <s v="Ltd Logan"/>
    <x v="2"/>
    <n v="10126.5"/>
    <n v="242"/>
    <x v="0"/>
    <d v="2019-07-12T00:00:00"/>
    <s v="Ibuprofen"/>
    <x v="2"/>
    <n v="21"/>
    <x v="0"/>
    <s v="Medium"/>
    <n v="6"/>
    <x v="1"/>
    <s v="June"/>
  </r>
  <r>
    <s v="James gArCIA"/>
    <n v="46"/>
    <x v="1"/>
    <x v="3"/>
    <x v="2"/>
    <d v="2021-01-01T00:00:00"/>
    <s v="Katherine Flynn"/>
    <s v="Bishop PLC"/>
    <x v="3"/>
    <n v="8470.64"/>
    <n v="328"/>
    <x v="2"/>
    <d v="2021-01-27T00:00:00"/>
    <s v="Penicillin"/>
    <x v="1"/>
    <n v="26"/>
    <x v="3"/>
    <s v="Low"/>
    <n v="1"/>
    <x v="5"/>
    <s v="January"/>
  </r>
  <r>
    <s v="lOri hArvEY"/>
    <n v="58"/>
    <x v="0"/>
    <x v="5"/>
    <x v="3"/>
    <d v="2022-09-07T00:00:00"/>
    <s v="Julian Perkins"/>
    <s v="Lewis-Mitchell"/>
    <x v="1"/>
    <n v="25086.01"/>
    <n v="476"/>
    <x v="0"/>
    <d v="2022-09-28T00:00:00"/>
    <s v="Lipitor"/>
    <x v="1"/>
    <n v="21"/>
    <x v="1"/>
    <s v="Medium"/>
    <n v="9"/>
    <x v="2"/>
    <s v="September"/>
  </r>
  <r>
    <s v="amy wANG"/>
    <n v="58"/>
    <x v="0"/>
    <x v="6"/>
    <x v="1"/>
    <d v="2022-06-09T00:00:00"/>
    <s v="Holly Taylor"/>
    <s v="and Campbell Sons"/>
    <x v="4"/>
    <n v="36524.379999999997"/>
    <n v="371"/>
    <x v="0"/>
    <d v="2022-06-26T00:00:00"/>
    <s v="Ibuprofen"/>
    <x v="2"/>
    <n v="17"/>
    <x v="1"/>
    <s v="High"/>
    <n v="6"/>
    <x v="2"/>
    <s v="June"/>
  </r>
  <r>
    <s v="joRDAn vARgaS"/>
    <n v="48"/>
    <x v="0"/>
    <x v="6"/>
    <x v="0"/>
    <d v="2023-11-01T00:00:00"/>
    <s v="Mark King"/>
    <s v="James PLC"/>
    <x v="3"/>
    <n v="5945.01"/>
    <n v="431"/>
    <x v="2"/>
    <d v="2023-11-10T00:00:00"/>
    <s v="Paracetamol"/>
    <x v="1"/>
    <n v="9"/>
    <x v="3"/>
    <s v="Low"/>
    <n v="11"/>
    <x v="4"/>
    <s v="November"/>
  </r>
  <r>
    <s v="GORDON kELLY"/>
    <n v="43"/>
    <x v="0"/>
    <x v="7"/>
    <x v="1"/>
    <d v="2023-08-06T00:00:00"/>
    <s v="Shelby Johnson"/>
    <s v="Colon-Meyer"/>
    <x v="0"/>
    <n v="3601.68"/>
    <n v="409"/>
    <x v="0"/>
    <d v="2023-08-13T00:00:00"/>
    <s v="Lipitor"/>
    <x v="1"/>
    <n v="7"/>
    <x v="3"/>
    <s v="Low"/>
    <n v="8"/>
    <x v="4"/>
    <s v="August"/>
  </r>
  <r>
    <s v="nathaN Scott"/>
    <n v="74"/>
    <x v="1"/>
    <x v="4"/>
    <x v="1"/>
    <d v="2022-07-30T00:00:00"/>
    <s v="Angela Logan MD"/>
    <s v="and Woods Liu, Berry"/>
    <x v="4"/>
    <n v="4920.1899999999996"/>
    <n v="135"/>
    <x v="2"/>
    <d v="2022-08-25T00:00:00"/>
    <s v="Aspirin"/>
    <x v="2"/>
    <n v="26"/>
    <x v="2"/>
    <s v="Low"/>
    <n v="7"/>
    <x v="2"/>
    <s v="July"/>
  </r>
  <r>
    <s v="LiSA grEEn"/>
    <n v="47"/>
    <x v="1"/>
    <x v="5"/>
    <x v="2"/>
    <d v="2021-02-04T00:00:00"/>
    <s v="Gloria Schultz"/>
    <s v="LLC Clayton"/>
    <x v="3"/>
    <n v="48887.23"/>
    <n v="105"/>
    <x v="2"/>
    <d v="2021-02-28T00:00:00"/>
    <s v="Ibuprofen"/>
    <x v="1"/>
    <n v="24"/>
    <x v="3"/>
    <s v="High"/>
    <n v="2"/>
    <x v="5"/>
    <s v="February"/>
  </r>
  <r>
    <s v="amY CoMbS"/>
    <n v="35"/>
    <x v="0"/>
    <x v="1"/>
    <x v="0"/>
    <d v="2021-11-26T00:00:00"/>
    <s v="Victor Morales"/>
    <s v="Le-Hawkins"/>
    <x v="0"/>
    <n v="48826.39"/>
    <n v="142"/>
    <x v="0"/>
    <d v="2021-12-09T00:00:00"/>
    <s v="Paracetamol"/>
    <x v="0"/>
    <n v="13"/>
    <x v="0"/>
    <s v="High"/>
    <n v="11"/>
    <x v="5"/>
    <s v="November"/>
  </r>
  <r>
    <s v="KelLY sANfoRD"/>
    <n v="28"/>
    <x v="0"/>
    <x v="0"/>
    <x v="5"/>
    <d v="2020-07-02T00:00:00"/>
    <s v="Nancy Vaughn"/>
    <s v="Martinez Taylor Lopez, and"/>
    <x v="3"/>
    <n v="5509.6"/>
    <n v="313"/>
    <x v="1"/>
    <d v="2020-07-03T00:00:00"/>
    <s v="Lipitor"/>
    <x v="2"/>
    <n v="1"/>
    <x v="0"/>
    <s v="Low"/>
    <n v="7"/>
    <x v="3"/>
    <s v="July"/>
  </r>
  <r>
    <s v="mrs. jEssIcA BlAck md"/>
    <n v="49"/>
    <x v="0"/>
    <x v="2"/>
    <x v="2"/>
    <d v="2021-08-09T00:00:00"/>
    <s v="Christopher Rivera"/>
    <s v="Williams Group"/>
    <x v="1"/>
    <n v="37636.44"/>
    <n v="385"/>
    <x v="2"/>
    <d v="2021-09-06T00:00:00"/>
    <s v="Ibuprofen"/>
    <x v="0"/>
    <n v="28"/>
    <x v="3"/>
    <s v="High"/>
    <n v="8"/>
    <x v="5"/>
    <s v="August"/>
  </r>
  <r>
    <s v="rObERT GoulD"/>
    <n v="28"/>
    <x v="0"/>
    <x v="5"/>
    <x v="1"/>
    <d v="2024-01-18T00:00:00"/>
    <s v="Brittany Rocha"/>
    <s v="Schmidt-Douglas"/>
    <x v="4"/>
    <n v="20885.919999999998"/>
    <n v="247"/>
    <x v="1"/>
    <d v="2024-02-04T00:00:00"/>
    <s v="Ibuprofen"/>
    <x v="1"/>
    <n v="17"/>
    <x v="0"/>
    <s v="Medium"/>
    <n v="1"/>
    <x v="0"/>
    <s v="January"/>
  </r>
  <r>
    <s v="cHRISTiNe VArgaS"/>
    <n v="50"/>
    <x v="0"/>
    <x v="7"/>
    <x v="1"/>
    <d v="2023-01-17T00:00:00"/>
    <s v="Patricia Hall"/>
    <s v="Ltd Fleming"/>
    <x v="2"/>
    <n v="35114.49"/>
    <n v="183"/>
    <x v="2"/>
    <d v="2023-02-10T00:00:00"/>
    <s v="Paracetamol"/>
    <x v="0"/>
    <n v="24"/>
    <x v="3"/>
    <s v="High"/>
    <n v="1"/>
    <x v="4"/>
    <s v="January"/>
  </r>
  <r>
    <s v="BARbara dIaZ"/>
    <n v="59"/>
    <x v="0"/>
    <x v="2"/>
    <x v="1"/>
    <d v="2024-03-27T00:00:00"/>
    <s v="Christopher Hudson"/>
    <s v="Smith Brown Wallace, and"/>
    <x v="0"/>
    <n v="6191.39"/>
    <n v="192"/>
    <x v="2"/>
    <d v="2024-04-21T00:00:00"/>
    <s v="Lipitor"/>
    <x v="0"/>
    <n v="25"/>
    <x v="1"/>
    <s v="Low"/>
    <n v="3"/>
    <x v="0"/>
    <s v="March"/>
  </r>
  <r>
    <s v="jOHn washIngtON"/>
    <n v="22"/>
    <x v="1"/>
    <x v="3"/>
    <x v="4"/>
    <d v="2023-01-10T00:00:00"/>
    <s v="Walter Perez"/>
    <s v="Boyer Inc"/>
    <x v="0"/>
    <n v="40697.97"/>
    <n v="116"/>
    <x v="2"/>
    <d v="2023-01-23T00:00:00"/>
    <s v="Ibuprofen"/>
    <x v="0"/>
    <n v="13"/>
    <x v="0"/>
    <s v="High"/>
    <n v="1"/>
    <x v="4"/>
    <s v="January"/>
  </r>
  <r>
    <s v="DEVIn stEWaRt"/>
    <n v="62"/>
    <x v="1"/>
    <x v="6"/>
    <x v="5"/>
    <d v="2019-07-14T00:00:00"/>
    <s v="Jonathan Chang"/>
    <s v="Miranda-Collins"/>
    <x v="2"/>
    <n v="43465.95"/>
    <n v="325"/>
    <x v="0"/>
    <d v="2019-07-18T00:00:00"/>
    <s v="Lipitor"/>
    <x v="0"/>
    <n v="4"/>
    <x v="1"/>
    <s v="High"/>
    <n v="7"/>
    <x v="1"/>
    <s v="July"/>
  </r>
  <r>
    <s v="JAMeS ROBeRTs"/>
    <n v="21"/>
    <x v="1"/>
    <x v="1"/>
    <x v="0"/>
    <d v="2020-05-18T00:00:00"/>
    <s v="Maria Ritter"/>
    <s v="Hoffman and Sons"/>
    <x v="4"/>
    <n v="16866.07"/>
    <n v="177"/>
    <x v="2"/>
    <d v="2020-06-02T00:00:00"/>
    <s v="Ibuprofen"/>
    <x v="0"/>
    <n v="15"/>
    <x v="0"/>
    <s v="Medium"/>
    <n v="5"/>
    <x v="3"/>
    <s v="May"/>
  </r>
  <r>
    <s v="JaMes YATEs"/>
    <n v="44"/>
    <x v="0"/>
    <x v="0"/>
    <x v="1"/>
    <d v="2022-06-15T00:00:00"/>
    <s v="Elizabeth Snyder"/>
    <s v="Group Ortega"/>
    <x v="2"/>
    <n v="41454.69"/>
    <n v="328"/>
    <x v="1"/>
    <d v="2022-06-25T00:00:00"/>
    <s v="Ibuprofen"/>
    <x v="1"/>
    <n v="10"/>
    <x v="3"/>
    <s v="High"/>
    <n v="6"/>
    <x v="2"/>
    <s v="June"/>
  </r>
  <r>
    <s v="PeTEr nIcHOLs"/>
    <n v="27"/>
    <x v="0"/>
    <x v="6"/>
    <x v="4"/>
    <d v="2020-03-27T00:00:00"/>
    <s v="Dennis Harris"/>
    <s v="Mitchell, Vasquez and Chaney"/>
    <x v="4"/>
    <n v="47735.38"/>
    <n v="221"/>
    <x v="0"/>
    <d v="2020-04-05T00:00:00"/>
    <s v="Penicillin"/>
    <x v="0"/>
    <n v="9"/>
    <x v="0"/>
    <s v="High"/>
    <n v="3"/>
    <x v="3"/>
    <s v="March"/>
  </r>
  <r>
    <s v="karen pRice"/>
    <n v="47"/>
    <x v="0"/>
    <x v="7"/>
    <x v="2"/>
    <d v="2020-02-20T00:00:00"/>
    <s v="Caroline Fields"/>
    <s v="Villa-Simpson"/>
    <x v="3"/>
    <n v="2826.81"/>
    <n v="256"/>
    <x v="2"/>
    <d v="2020-03-01T00:00:00"/>
    <s v="Lipitor"/>
    <x v="0"/>
    <n v="10"/>
    <x v="3"/>
    <s v="Low"/>
    <n v="2"/>
    <x v="3"/>
    <s v="February"/>
  </r>
  <r>
    <s v="chRisTOPHEr jONes"/>
    <n v="51"/>
    <x v="0"/>
    <x v="7"/>
    <x v="4"/>
    <d v="2020-06-16T00:00:00"/>
    <s v="Joseph Rivera"/>
    <s v="LLC Haynes"/>
    <x v="0"/>
    <n v="26524.17"/>
    <n v="426"/>
    <x v="2"/>
    <d v="2020-06-21T00:00:00"/>
    <s v="Penicillin"/>
    <x v="1"/>
    <n v="5"/>
    <x v="3"/>
    <s v="Medium"/>
    <n v="6"/>
    <x v="3"/>
    <s v="June"/>
  </r>
  <r>
    <s v="LaRRY LeoNarD"/>
    <n v="48"/>
    <x v="1"/>
    <x v="0"/>
    <x v="4"/>
    <d v="2019-06-06T00:00:00"/>
    <s v="Charles Reynolds"/>
    <s v="Inc Cummings"/>
    <x v="3"/>
    <n v="36727.58"/>
    <n v="386"/>
    <x v="0"/>
    <d v="2019-07-02T00:00:00"/>
    <s v="Ibuprofen"/>
    <x v="0"/>
    <n v="26"/>
    <x v="3"/>
    <s v="High"/>
    <n v="6"/>
    <x v="1"/>
    <s v="June"/>
  </r>
  <r>
    <s v="MiChELle zHaNg"/>
    <n v="83"/>
    <x v="0"/>
    <x v="0"/>
    <x v="5"/>
    <d v="2022-01-18T00:00:00"/>
    <s v="Patricia Valentine"/>
    <s v="Downs-Stephens"/>
    <x v="0"/>
    <n v="4509.3999999999996"/>
    <n v="175"/>
    <x v="2"/>
    <d v="2022-02-05T00:00:00"/>
    <s v="Paracetamol"/>
    <x v="2"/>
    <n v="18"/>
    <x v="2"/>
    <s v="Low"/>
    <n v="1"/>
    <x v="2"/>
    <s v="January"/>
  </r>
  <r>
    <s v="kriSTEn FlOrES"/>
    <n v="64"/>
    <x v="0"/>
    <x v="1"/>
    <x v="5"/>
    <d v="2021-01-11T00:00:00"/>
    <s v="Angela Reed"/>
    <s v="Carson and Nielsen, Buchanan"/>
    <x v="2"/>
    <n v="25709.58"/>
    <n v="180"/>
    <x v="2"/>
    <d v="2021-01-23T00:00:00"/>
    <s v="Aspirin"/>
    <x v="2"/>
    <n v="12"/>
    <x v="1"/>
    <s v="Medium"/>
    <n v="1"/>
    <x v="5"/>
    <s v="January"/>
  </r>
  <r>
    <s v="MaTThEW bELl"/>
    <n v="19"/>
    <x v="0"/>
    <x v="3"/>
    <x v="1"/>
    <d v="2021-02-04T00:00:00"/>
    <s v="Doris Johnson"/>
    <s v="Hicks-Perez"/>
    <x v="1"/>
    <n v="20086.22"/>
    <n v="270"/>
    <x v="0"/>
    <d v="2021-02-15T00:00:00"/>
    <s v="Aspirin"/>
    <x v="2"/>
    <n v="11"/>
    <x v="0"/>
    <s v="Medium"/>
    <n v="2"/>
    <x v="5"/>
    <s v="February"/>
  </r>
  <r>
    <s v="brADLeY MIraNdA"/>
    <n v="39"/>
    <x v="0"/>
    <x v="0"/>
    <x v="3"/>
    <d v="2022-05-30T00:00:00"/>
    <s v="Devin Pratt"/>
    <s v="Wilson and Brown, Ortiz"/>
    <x v="3"/>
    <n v="36862.17"/>
    <n v="338"/>
    <x v="2"/>
    <d v="2022-06-01T00:00:00"/>
    <s v="Aspirin"/>
    <x v="1"/>
    <n v="2"/>
    <x v="3"/>
    <s v="High"/>
    <n v="5"/>
    <x v="2"/>
    <s v="May"/>
  </r>
  <r>
    <s v="cHRIsToPheR mOORE"/>
    <n v="23"/>
    <x v="1"/>
    <x v="3"/>
    <x v="4"/>
    <d v="2021-12-19T00:00:00"/>
    <s v="Angela Allison"/>
    <s v="Berg-Mcconnell"/>
    <x v="0"/>
    <n v="40065.339999999997"/>
    <n v="360"/>
    <x v="2"/>
    <d v="2021-12-30T00:00:00"/>
    <s v="Paracetamol"/>
    <x v="0"/>
    <n v="11"/>
    <x v="0"/>
    <s v="High"/>
    <n v="12"/>
    <x v="5"/>
    <s v="December"/>
  </r>
  <r>
    <s v="dan PINEDA"/>
    <n v="24"/>
    <x v="0"/>
    <x v="6"/>
    <x v="2"/>
    <d v="2021-07-20T00:00:00"/>
    <s v="Phyllis Nguyen"/>
    <s v="Gilbert Ltd"/>
    <x v="3"/>
    <n v="41997.35"/>
    <n v="252"/>
    <x v="2"/>
    <d v="2021-08-07T00:00:00"/>
    <s v="Lipitor"/>
    <x v="2"/>
    <n v="18"/>
    <x v="0"/>
    <s v="High"/>
    <n v="7"/>
    <x v="5"/>
    <s v="July"/>
  </r>
  <r>
    <s v="maRIaH SmiTH"/>
    <n v="73"/>
    <x v="1"/>
    <x v="5"/>
    <x v="0"/>
    <d v="2022-12-27T00:00:00"/>
    <s v="Melissa Mendoza"/>
    <s v="Gutierrez-Webster"/>
    <x v="0"/>
    <n v="22601.57"/>
    <n v="215"/>
    <x v="2"/>
    <d v="2023-01-19T00:00:00"/>
    <s v="Paracetamol"/>
    <x v="2"/>
    <n v="23"/>
    <x v="2"/>
    <s v="Medium"/>
    <n v="12"/>
    <x v="2"/>
    <s v="December"/>
  </r>
  <r>
    <s v="saBRINa cOoK"/>
    <n v="56"/>
    <x v="0"/>
    <x v="7"/>
    <x v="1"/>
    <d v="2022-09-05T00:00:00"/>
    <s v="Christopher Bates"/>
    <s v="Group Thompson"/>
    <x v="3"/>
    <n v="36204.730000000003"/>
    <n v="430"/>
    <x v="0"/>
    <d v="2022-10-04T00:00:00"/>
    <s v="Penicillin"/>
    <x v="0"/>
    <n v="29"/>
    <x v="1"/>
    <s v="High"/>
    <n v="9"/>
    <x v="2"/>
    <s v="September"/>
  </r>
  <r>
    <s v="MelIssA hOFfMAN"/>
    <n v="36"/>
    <x v="0"/>
    <x v="6"/>
    <x v="0"/>
    <d v="2022-07-27T00:00:00"/>
    <s v="April Cummings"/>
    <s v="Cooley-Reid"/>
    <x v="4"/>
    <n v="41311.29"/>
    <n v="434"/>
    <x v="1"/>
    <d v="2022-08-19T00:00:00"/>
    <s v="Lipitor"/>
    <x v="1"/>
    <n v="23"/>
    <x v="3"/>
    <s v="High"/>
    <n v="7"/>
    <x v="2"/>
    <s v="July"/>
  </r>
  <r>
    <s v="Joseph MARtiN"/>
    <n v="33"/>
    <x v="0"/>
    <x v="1"/>
    <x v="0"/>
    <d v="2024-05-03T00:00:00"/>
    <s v="Andrew Hill"/>
    <s v="and Davenport Davis Hobbs,"/>
    <x v="2"/>
    <n v="36890.269999999997"/>
    <n v="374"/>
    <x v="2"/>
    <d v="2024-05-15T00:00:00"/>
    <s v="Lipitor"/>
    <x v="0"/>
    <n v="12"/>
    <x v="0"/>
    <s v="High"/>
    <n v="5"/>
    <x v="0"/>
    <s v="May"/>
  </r>
  <r>
    <s v="meLissA SIms"/>
    <n v="21"/>
    <x v="0"/>
    <x v="3"/>
    <x v="5"/>
    <d v="2019-08-28T00:00:00"/>
    <s v="Susan Sampson"/>
    <s v="Thompson-Becker"/>
    <x v="2"/>
    <n v="5716.1"/>
    <n v="293"/>
    <x v="1"/>
    <d v="2019-09-16T00:00:00"/>
    <s v="Aspirin"/>
    <x v="2"/>
    <n v="19"/>
    <x v="0"/>
    <s v="Low"/>
    <n v="8"/>
    <x v="1"/>
    <s v="August"/>
  </r>
  <r>
    <s v="SaraH evans"/>
    <n v="80"/>
    <x v="0"/>
    <x v="0"/>
    <x v="2"/>
    <d v="2024-04-21T00:00:00"/>
    <s v="Darren Becker"/>
    <s v="Mitchell Inc"/>
    <x v="0"/>
    <n v="10461.98"/>
    <n v="481"/>
    <x v="1"/>
    <d v="2024-05-07T00:00:00"/>
    <s v="Aspirin"/>
    <x v="2"/>
    <n v="16"/>
    <x v="2"/>
    <s v="Medium"/>
    <n v="4"/>
    <x v="0"/>
    <s v="April"/>
  </r>
  <r>
    <s v="mARIA ANDeRsON"/>
    <n v="79"/>
    <x v="1"/>
    <x v="3"/>
    <x v="5"/>
    <d v="2024-03-12T00:00:00"/>
    <s v="Lee Santiago"/>
    <s v="Mack, Wilson and Fowler"/>
    <x v="0"/>
    <n v="37879.980000000003"/>
    <n v="110"/>
    <x v="0"/>
    <d v="2024-04-04T00:00:00"/>
    <s v="Aspirin"/>
    <x v="2"/>
    <n v="23"/>
    <x v="2"/>
    <s v="High"/>
    <n v="3"/>
    <x v="0"/>
    <s v="March"/>
  </r>
  <r>
    <s v="MariA JOHnStON"/>
    <n v="44"/>
    <x v="0"/>
    <x v="1"/>
    <x v="1"/>
    <d v="2019-09-29T00:00:00"/>
    <s v="Holly Walton"/>
    <s v="Johnson Garcia, and Anthony"/>
    <x v="3"/>
    <n v="44355.199999999997"/>
    <n v="177"/>
    <x v="2"/>
    <d v="2019-10-05T00:00:00"/>
    <s v="Aspirin"/>
    <x v="1"/>
    <n v="6"/>
    <x v="3"/>
    <s v="High"/>
    <n v="9"/>
    <x v="1"/>
    <s v="September"/>
  </r>
  <r>
    <s v="JaMES COle"/>
    <n v="23"/>
    <x v="0"/>
    <x v="4"/>
    <x v="1"/>
    <d v="2022-08-19T00:00:00"/>
    <s v="Craig Howard"/>
    <s v="and Young Powell Mitchell,"/>
    <x v="1"/>
    <n v="28355.45"/>
    <n v="327"/>
    <x v="0"/>
    <d v="2022-08-24T00:00:00"/>
    <s v="Penicillin"/>
    <x v="0"/>
    <n v="5"/>
    <x v="0"/>
    <s v="Medium"/>
    <n v="8"/>
    <x v="2"/>
    <s v="August"/>
  </r>
  <r>
    <s v="iSaiaH hOlT"/>
    <n v="75"/>
    <x v="0"/>
    <x v="2"/>
    <x v="0"/>
    <d v="2021-10-18T00:00:00"/>
    <s v="Diane Riley"/>
    <s v="Bishop Inc"/>
    <x v="0"/>
    <n v="22935.41"/>
    <n v="217"/>
    <x v="2"/>
    <d v="2021-11-01T00:00:00"/>
    <s v="Ibuprofen"/>
    <x v="0"/>
    <n v="14"/>
    <x v="2"/>
    <s v="Medium"/>
    <n v="10"/>
    <x v="5"/>
    <s v="October"/>
  </r>
  <r>
    <s v="joSEPH gonzaLeS"/>
    <n v="60"/>
    <x v="0"/>
    <x v="2"/>
    <x v="4"/>
    <d v="2023-04-07T00:00:00"/>
    <s v="John Schroeder"/>
    <s v="Coleman-Dawson"/>
    <x v="1"/>
    <n v="42605.64"/>
    <n v="366"/>
    <x v="2"/>
    <d v="2023-05-05T00:00:00"/>
    <s v="Lipitor"/>
    <x v="0"/>
    <n v="28"/>
    <x v="1"/>
    <s v="High"/>
    <n v="4"/>
    <x v="4"/>
    <s v="April"/>
  </r>
  <r>
    <s v="JenNiFEr CAMaCho"/>
    <n v="83"/>
    <x v="0"/>
    <x v="5"/>
    <x v="3"/>
    <d v="2019-10-28T00:00:00"/>
    <s v="Mark Watson"/>
    <s v="Cunningham-King"/>
    <x v="3"/>
    <n v="24023.96"/>
    <n v="118"/>
    <x v="2"/>
    <d v="2019-11-24T00:00:00"/>
    <s v="Ibuprofen"/>
    <x v="1"/>
    <n v="27"/>
    <x v="2"/>
    <s v="Medium"/>
    <n v="10"/>
    <x v="1"/>
    <s v="October"/>
  </r>
  <r>
    <s v="HecTOR jonES"/>
    <n v="61"/>
    <x v="1"/>
    <x v="4"/>
    <x v="4"/>
    <d v="2020-06-29T00:00:00"/>
    <s v="Diane Griffin"/>
    <s v="Anderson PLC"/>
    <x v="3"/>
    <n v="20577.71"/>
    <n v="387"/>
    <x v="2"/>
    <d v="2020-07-26T00:00:00"/>
    <s v="Penicillin"/>
    <x v="0"/>
    <n v="27"/>
    <x v="1"/>
    <s v="Medium"/>
    <n v="6"/>
    <x v="3"/>
    <s v="June"/>
  </r>
  <r>
    <s v="jEsSIcA jOnes Dds"/>
    <n v="82"/>
    <x v="1"/>
    <x v="4"/>
    <x v="2"/>
    <d v="2022-09-21T00:00:00"/>
    <s v="Kenneth Mcintosh"/>
    <s v="Freeman King Hodges, and"/>
    <x v="2"/>
    <n v="7264.89"/>
    <n v="237"/>
    <x v="1"/>
    <d v="2022-10-03T00:00:00"/>
    <s v="Aspirin"/>
    <x v="0"/>
    <n v="12"/>
    <x v="2"/>
    <s v="Low"/>
    <n v="9"/>
    <x v="2"/>
    <s v="September"/>
  </r>
  <r>
    <s v="IsaBeLlA martIn"/>
    <n v="40"/>
    <x v="0"/>
    <x v="2"/>
    <x v="5"/>
    <d v="2023-08-10T00:00:00"/>
    <s v="Victoria Hernandez"/>
    <s v="Sons Wilson and"/>
    <x v="4"/>
    <n v="29913.85"/>
    <n v="317"/>
    <x v="0"/>
    <d v="2023-08-15T00:00:00"/>
    <s v="Ibuprofen"/>
    <x v="0"/>
    <n v="5"/>
    <x v="3"/>
    <s v="Medium"/>
    <n v="8"/>
    <x v="4"/>
    <s v="August"/>
  </r>
  <r>
    <s v="daNiEL pALMeR"/>
    <n v="70"/>
    <x v="1"/>
    <x v="6"/>
    <x v="4"/>
    <d v="2022-05-16T00:00:00"/>
    <s v="David Zavala"/>
    <s v="Woodward Ltd"/>
    <x v="4"/>
    <n v="43353.4"/>
    <n v="266"/>
    <x v="2"/>
    <d v="2022-05-26T00:00:00"/>
    <s v="Lipitor"/>
    <x v="0"/>
    <n v="10"/>
    <x v="1"/>
    <s v="High"/>
    <n v="5"/>
    <x v="2"/>
    <s v="May"/>
  </r>
  <r>
    <s v="sTEPhanIe BeNsoN"/>
    <n v="68"/>
    <x v="1"/>
    <x v="3"/>
    <x v="0"/>
    <d v="2020-08-25T00:00:00"/>
    <s v="Frederick Fields"/>
    <s v="Powell Branch Osborn, and"/>
    <x v="0"/>
    <n v="18382.66"/>
    <n v="355"/>
    <x v="2"/>
    <d v="2020-09-15T00:00:00"/>
    <s v="Lipitor"/>
    <x v="2"/>
    <n v="21"/>
    <x v="1"/>
    <s v="Medium"/>
    <n v="8"/>
    <x v="3"/>
    <s v="August"/>
  </r>
  <r>
    <s v="AshleY WiLliamS"/>
    <n v="31"/>
    <x v="1"/>
    <x v="0"/>
    <x v="0"/>
    <d v="2023-10-04T00:00:00"/>
    <s v="Michael Nguyen"/>
    <s v="Brown Brown, and Sanders"/>
    <x v="0"/>
    <n v="49419.87"/>
    <n v="328"/>
    <x v="2"/>
    <d v="2023-10-11T00:00:00"/>
    <s v="Ibuprofen"/>
    <x v="1"/>
    <n v="7"/>
    <x v="0"/>
    <s v="High"/>
    <n v="10"/>
    <x v="4"/>
    <s v="October"/>
  </r>
  <r>
    <s v="GReGOrY NguYEn"/>
    <n v="28"/>
    <x v="0"/>
    <x v="3"/>
    <x v="3"/>
    <d v="2022-04-28T00:00:00"/>
    <s v="Casey Fowler"/>
    <s v="Harris-Oconnor"/>
    <x v="2"/>
    <n v="9958.02"/>
    <n v="364"/>
    <x v="1"/>
    <d v="2022-05-27T00:00:00"/>
    <s v="Penicillin"/>
    <x v="1"/>
    <n v="29"/>
    <x v="0"/>
    <s v="Low"/>
    <n v="4"/>
    <x v="2"/>
    <s v="April"/>
  </r>
  <r>
    <s v="joE SmItH"/>
    <n v="84"/>
    <x v="0"/>
    <x v="3"/>
    <x v="4"/>
    <d v="2019-05-29T00:00:00"/>
    <s v="Michael Miller"/>
    <s v="Paul Richardson Haynes, and"/>
    <x v="0"/>
    <n v="21438.28"/>
    <n v="217"/>
    <x v="2"/>
    <d v="2019-06-17T00:00:00"/>
    <s v="Aspirin"/>
    <x v="2"/>
    <n v="19"/>
    <x v="2"/>
    <s v="Medium"/>
    <n v="5"/>
    <x v="1"/>
    <s v="May"/>
  </r>
  <r>
    <s v="LIsa wATTS"/>
    <n v="34"/>
    <x v="1"/>
    <x v="4"/>
    <x v="5"/>
    <d v="2024-03-09T00:00:00"/>
    <s v="Kaylee Hampton"/>
    <s v="Patterson-Lee"/>
    <x v="2"/>
    <n v="1820.02"/>
    <n v="356"/>
    <x v="1"/>
    <d v="2024-03-23T00:00:00"/>
    <s v="Aspirin"/>
    <x v="2"/>
    <n v="14"/>
    <x v="0"/>
    <s v="Low"/>
    <n v="3"/>
    <x v="0"/>
    <s v="March"/>
  </r>
  <r>
    <s v="alexAnDER GArcia"/>
    <n v="25"/>
    <x v="1"/>
    <x v="6"/>
    <x v="4"/>
    <d v="2020-01-07T00:00:00"/>
    <s v="Amber Gordon"/>
    <s v="and Yang Fox Scott,"/>
    <x v="4"/>
    <n v="32760.47"/>
    <n v="476"/>
    <x v="0"/>
    <d v="2020-02-01T00:00:00"/>
    <s v="Aspirin"/>
    <x v="0"/>
    <n v="25"/>
    <x v="0"/>
    <s v="High"/>
    <n v="1"/>
    <x v="3"/>
    <s v="January"/>
  </r>
  <r>
    <s v="ElIzabETh PErKINs"/>
    <n v="58"/>
    <x v="1"/>
    <x v="6"/>
    <x v="3"/>
    <d v="2019-11-10T00:00:00"/>
    <s v="Colleen Meyers"/>
    <s v="Burch, and Sexton Sandoval"/>
    <x v="1"/>
    <n v="35421.83"/>
    <n v="134"/>
    <x v="2"/>
    <d v="2019-12-06T00:00:00"/>
    <s v="Paracetamol"/>
    <x v="2"/>
    <n v="26"/>
    <x v="1"/>
    <s v="High"/>
    <n v="11"/>
    <x v="1"/>
    <s v="November"/>
  </r>
  <r>
    <s v="LAuRA WELLS"/>
    <n v="78"/>
    <x v="1"/>
    <x v="3"/>
    <x v="2"/>
    <d v="2023-01-24T00:00:00"/>
    <s v="Eileen Hernandez"/>
    <s v="Johnson and Delgado, Bennett"/>
    <x v="1"/>
    <n v="44393.18"/>
    <n v="169"/>
    <x v="2"/>
    <d v="2023-02-01T00:00:00"/>
    <s v="Aspirin"/>
    <x v="1"/>
    <n v="8"/>
    <x v="2"/>
    <s v="High"/>
    <n v="1"/>
    <x v="4"/>
    <s v="January"/>
  </r>
  <r>
    <s v="robErT mCcORmICk"/>
    <n v="56"/>
    <x v="0"/>
    <x v="4"/>
    <x v="2"/>
    <d v="2019-07-28T00:00:00"/>
    <s v="Carrie Wright"/>
    <s v="Garza Group"/>
    <x v="0"/>
    <n v="16578.91"/>
    <n v="282"/>
    <x v="0"/>
    <d v="2019-08-26T00:00:00"/>
    <s v="Penicillin"/>
    <x v="1"/>
    <n v="29"/>
    <x v="1"/>
    <s v="Medium"/>
    <n v="7"/>
    <x v="1"/>
    <s v="July"/>
  </r>
  <r>
    <s v="MICHAEL yu"/>
    <n v="77"/>
    <x v="0"/>
    <x v="5"/>
    <x v="5"/>
    <d v="2022-07-18T00:00:00"/>
    <s v="Jeffrey Schmidt"/>
    <s v="Olson, Andrade and Dixon"/>
    <x v="1"/>
    <n v="33749.86"/>
    <n v="112"/>
    <x v="1"/>
    <d v="2022-08-07T00:00:00"/>
    <s v="Paracetamol"/>
    <x v="2"/>
    <n v="20"/>
    <x v="2"/>
    <s v="High"/>
    <n v="7"/>
    <x v="2"/>
    <s v="July"/>
  </r>
  <r>
    <s v="jacOB GRaHam"/>
    <n v="61"/>
    <x v="1"/>
    <x v="1"/>
    <x v="3"/>
    <d v="2020-06-07T00:00:00"/>
    <s v="Jaime Bell"/>
    <s v="Fisher Inc"/>
    <x v="3"/>
    <n v="3903.76"/>
    <n v="301"/>
    <x v="0"/>
    <d v="2020-07-01T00:00:00"/>
    <s v="Penicillin"/>
    <x v="2"/>
    <n v="24"/>
    <x v="1"/>
    <s v="Low"/>
    <n v="6"/>
    <x v="3"/>
    <s v="June"/>
  </r>
  <r>
    <s v="aNdrea kenNedy"/>
    <n v="40"/>
    <x v="1"/>
    <x v="0"/>
    <x v="0"/>
    <d v="2020-12-07T00:00:00"/>
    <s v="Brian Cooper"/>
    <s v="Farrell-Lyons"/>
    <x v="1"/>
    <n v="22720.33"/>
    <n v="463"/>
    <x v="1"/>
    <d v="2020-12-20T00:00:00"/>
    <s v="Lipitor"/>
    <x v="2"/>
    <n v="13"/>
    <x v="3"/>
    <s v="Medium"/>
    <n v="12"/>
    <x v="3"/>
    <s v="December"/>
  </r>
  <r>
    <s v="StacEY aNderson"/>
    <n v="80"/>
    <x v="0"/>
    <x v="5"/>
    <x v="2"/>
    <d v="2020-04-10T00:00:00"/>
    <s v="Anthony Graves"/>
    <s v="Greer Cain and Taylor,"/>
    <x v="1"/>
    <n v="35411.47"/>
    <n v="282"/>
    <x v="2"/>
    <d v="2020-04-30T00:00:00"/>
    <s v="Paracetamol"/>
    <x v="2"/>
    <n v="20"/>
    <x v="2"/>
    <s v="High"/>
    <n v="4"/>
    <x v="3"/>
    <s v="April"/>
  </r>
  <r>
    <s v="jasOn mArsh"/>
    <n v="35"/>
    <x v="0"/>
    <x v="2"/>
    <x v="4"/>
    <d v="2023-07-12T00:00:00"/>
    <s v="Traci White MD"/>
    <s v="Turner Ltd"/>
    <x v="1"/>
    <n v="27342.23"/>
    <n v="279"/>
    <x v="0"/>
    <d v="2023-07-22T00:00:00"/>
    <s v="Aspirin"/>
    <x v="0"/>
    <n v="10"/>
    <x v="0"/>
    <s v="Medium"/>
    <n v="7"/>
    <x v="4"/>
    <s v="July"/>
  </r>
  <r>
    <s v="tiFfAnY FErguSON"/>
    <n v="85"/>
    <x v="1"/>
    <x v="1"/>
    <x v="0"/>
    <d v="2022-09-10T00:00:00"/>
    <s v="Eric Lutz"/>
    <s v="Johnson Group"/>
    <x v="0"/>
    <n v="27971.279999999999"/>
    <n v="120"/>
    <x v="1"/>
    <d v="2022-09-14T00:00:00"/>
    <s v="Lipitor"/>
    <x v="2"/>
    <n v="4"/>
    <x v="2"/>
    <s v="Medium"/>
    <n v="9"/>
    <x v="2"/>
    <s v="September"/>
  </r>
  <r>
    <s v="mark hErnaNdEZ"/>
    <n v="64"/>
    <x v="0"/>
    <x v="5"/>
    <x v="4"/>
    <d v="2021-04-15T00:00:00"/>
    <s v="Brenda Hill"/>
    <s v="Sherman Inc"/>
    <x v="4"/>
    <n v="26894.07"/>
    <n v="208"/>
    <x v="1"/>
    <d v="2021-05-07T00:00:00"/>
    <s v="Aspirin"/>
    <x v="0"/>
    <n v="22"/>
    <x v="1"/>
    <s v="Medium"/>
    <n v="4"/>
    <x v="5"/>
    <s v="April"/>
  </r>
  <r>
    <s v="KEITH HenRy"/>
    <n v="30"/>
    <x v="1"/>
    <x v="7"/>
    <x v="0"/>
    <d v="2020-08-20T00:00:00"/>
    <s v="Peter Brown"/>
    <s v="and Garcia Wade Richardson,"/>
    <x v="1"/>
    <n v="36551.050000000003"/>
    <n v="111"/>
    <x v="1"/>
    <d v="2020-08-23T00:00:00"/>
    <s v="Ibuprofen"/>
    <x v="2"/>
    <n v="3"/>
    <x v="0"/>
    <s v="High"/>
    <n v="8"/>
    <x v="3"/>
    <s v="August"/>
  </r>
  <r>
    <s v="mIChelLE WRIghT"/>
    <n v="19"/>
    <x v="1"/>
    <x v="1"/>
    <x v="5"/>
    <d v="2020-08-14T00:00:00"/>
    <s v="Benjamin Banks"/>
    <s v="White-Graham"/>
    <x v="1"/>
    <n v="10693.39"/>
    <n v="435"/>
    <x v="2"/>
    <d v="2020-08-28T00:00:00"/>
    <s v="Ibuprofen"/>
    <x v="2"/>
    <n v="14"/>
    <x v="0"/>
    <s v="Medium"/>
    <n v="8"/>
    <x v="3"/>
    <s v="August"/>
  </r>
  <r>
    <s v="TRoY DaVIS"/>
    <n v="64"/>
    <x v="0"/>
    <x v="1"/>
    <x v="2"/>
    <d v="2021-07-17T00:00:00"/>
    <s v="Natalie Perez"/>
    <s v="and Miller Sons"/>
    <x v="3"/>
    <n v="28835.439999999999"/>
    <n v="270"/>
    <x v="0"/>
    <d v="2021-08-03T00:00:00"/>
    <s v="Lipitor"/>
    <x v="1"/>
    <n v="17"/>
    <x v="1"/>
    <s v="Medium"/>
    <n v="7"/>
    <x v="5"/>
    <s v="July"/>
  </r>
  <r>
    <s v="MiSty burton"/>
    <n v="44"/>
    <x v="0"/>
    <x v="6"/>
    <x v="2"/>
    <d v="2023-01-27T00:00:00"/>
    <s v="Erica Williams"/>
    <s v="Taylor, and Mullins Lara"/>
    <x v="1"/>
    <n v="7083.61"/>
    <n v="317"/>
    <x v="2"/>
    <d v="2023-02-02T00:00:00"/>
    <s v="Lipitor"/>
    <x v="1"/>
    <n v="6"/>
    <x v="3"/>
    <s v="Low"/>
    <n v="1"/>
    <x v="4"/>
    <s v="January"/>
  </r>
  <r>
    <s v="RObERt rObINsOn"/>
    <n v="66"/>
    <x v="1"/>
    <x v="7"/>
    <x v="3"/>
    <d v="2020-09-04T00:00:00"/>
    <s v="Jasmine Webb"/>
    <s v="and King, Vega Jones"/>
    <x v="1"/>
    <n v="2068.4299999999998"/>
    <n v="302"/>
    <x v="0"/>
    <d v="2020-09-20T00:00:00"/>
    <s v="Penicillin"/>
    <x v="1"/>
    <n v="16"/>
    <x v="1"/>
    <s v="Low"/>
    <n v="9"/>
    <x v="3"/>
    <s v="September"/>
  </r>
  <r>
    <s v="CHrISTiNA caldeROn"/>
    <n v="79"/>
    <x v="1"/>
    <x v="4"/>
    <x v="4"/>
    <d v="2020-02-08T00:00:00"/>
    <s v="David Cabrera"/>
    <s v="Alvarez-Cruz"/>
    <x v="0"/>
    <n v="42956.13"/>
    <n v="382"/>
    <x v="2"/>
    <d v="2020-02-21T00:00:00"/>
    <s v="Aspirin"/>
    <x v="0"/>
    <n v="13"/>
    <x v="2"/>
    <s v="High"/>
    <n v="2"/>
    <x v="3"/>
    <s v="February"/>
  </r>
  <r>
    <s v="JOhN GRahAm"/>
    <n v="59"/>
    <x v="1"/>
    <x v="3"/>
    <x v="2"/>
    <d v="2019-07-01T00:00:00"/>
    <s v="Julie Gonzales"/>
    <s v="Walker Cisneros and Adams,"/>
    <x v="2"/>
    <n v="17307.37"/>
    <n v="255"/>
    <x v="0"/>
    <d v="2019-07-05T00:00:00"/>
    <s v="Penicillin"/>
    <x v="2"/>
    <n v="4"/>
    <x v="1"/>
    <s v="Medium"/>
    <n v="7"/>
    <x v="1"/>
    <s v="July"/>
  </r>
  <r>
    <s v="mICHAEl PARkER"/>
    <n v="47"/>
    <x v="0"/>
    <x v="3"/>
    <x v="3"/>
    <d v="2024-01-01T00:00:00"/>
    <s v="Julia Campbell"/>
    <s v="Ltd Lewis"/>
    <x v="2"/>
    <n v="41492.129999999997"/>
    <n v="388"/>
    <x v="2"/>
    <d v="2024-01-12T00:00:00"/>
    <s v="Aspirin"/>
    <x v="0"/>
    <n v="11"/>
    <x v="3"/>
    <s v="High"/>
    <n v="1"/>
    <x v="0"/>
    <s v="January"/>
  </r>
  <r>
    <s v="WIlliAm EVANs"/>
    <n v="49"/>
    <x v="0"/>
    <x v="4"/>
    <x v="1"/>
    <d v="2021-03-10T00:00:00"/>
    <s v="Zachary Robinson"/>
    <s v="Esparza-Martinez"/>
    <x v="3"/>
    <n v="16097.76"/>
    <n v="310"/>
    <x v="1"/>
    <d v="2021-04-07T00:00:00"/>
    <s v="Paracetamol"/>
    <x v="0"/>
    <n v="28"/>
    <x v="3"/>
    <s v="Medium"/>
    <n v="3"/>
    <x v="5"/>
    <s v="March"/>
  </r>
  <r>
    <s v="vAlEriE hodgES"/>
    <n v="35"/>
    <x v="0"/>
    <x v="4"/>
    <x v="0"/>
    <d v="2019-09-19T00:00:00"/>
    <s v="Christine Smith"/>
    <s v="Baker Hernandez and Scott,"/>
    <x v="0"/>
    <n v="44495.73"/>
    <n v="469"/>
    <x v="2"/>
    <d v="2019-10-16T00:00:00"/>
    <s v="Paracetamol"/>
    <x v="1"/>
    <n v="27"/>
    <x v="0"/>
    <s v="High"/>
    <n v="9"/>
    <x v="1"/>
    <s v="September"/>
  </r>
  <r>
    <s v="brENda BecK"/>
    <n v="69"/>
    <x v="1"/>
    <x v="6"/>
    <x v="1"/>
    <d v="2023-02-24T00:00:00"/>
    <s v="Barbara Burgess"/>
    <s v="Group Lopez"/>
    <x v="0"/>
    <n v="2936.89"/>
    <n v="223"/>
    <x v="1"/>
    <d v="2023-02-25T00:00:00"/>
    <s v="Aspirin"/>
    <x v="2"/>
    <n v="1"/>
    <x v="1"/>
    <s v="Low"/>
    <n v="2"/>
    <x v="4"/>
    <s v="February"/>
  </r>
  <r>
    <s v="CHrISTIne DAvIs"/>
    <n v="57"/>
    <x v="0"/>
    <x v="3"/>
    <x v="1"/>
    <d v="2022-03-30T00:00:00"/>
    <s v="Malik Goodwin"/>
    <s v="and Le Martin Young,"/>
    <x v="3"/>
    <n v="43374.01"/>
    <n v="232"/>
    <x v="1"/>
    <d v="2022-04-14T00:00:00"/>
    <s v="Lipitor"/>
    <x v="1"/>
    <n v="15"/>
    <x v="1"/>
    <s v="High"/>
    <n v="3"/>
    <x v="2"/>
    <s v="March"/>
  </r>
  <r>
    <s v="keVIN dANiEl"/>
    <n v="51"/>
    <x v="1"/>
    <x v="1"/>
    <x v="3"/>
    <d v="2019-08-30T00:00:00"/>
    <s v="Diana Shaw"/>
    <s v="PLC Cook"/>
    <x v="2"/>
    <n v="6949.88"/>
    <n v="366"/>
    <x v="0"/>
    <d v="2019-09-17T00:00:00"/>
    <s v="Paracetamol"/>
    <x v="1"/>
    <n v="18"/>
    <x v="3"/>
    <s v="Low"/>
    <n v="8"/>
    <x v="1"/>
    <s v="August"/>
  </r>
  <r>
    <s v="BRIttney WagNER"/>
    <n v="31"/>
    <x v="1"/>
    <x v="3"/>
    <x v="5"/>
    <d v="2019-12-21T00:00:00"/>
    <s v="Michael Mason"/>
    <s v="Baker, Davis Hill and"/>
    <x v="0"/>
    <n v="15449.06"/>
    <n v="384"/>
    <x v="2"/>
    <d v="2019-12-31T00:00:00"/>
    <s v="Lipitor"/>
    <x v="2"/>
    <n v="10"/>
    <x v="0"/>
    <s v="Medium"/>
    <n v="12"/>
    <x v="1"/>
    <s v="December"/>
  </r>
  <r>
    <s v="criStIaN bUChANAn"/>
    <n v="34"/>
    <x v="1"/>
    <x v="2"/>
    <x v="1"/>
    <d v="2019-08-31T00:00:00"/>
    <s v="Alexis Bradford"/>
    <s v="Johnson-Gray"/>
    <x v="0"/>
    <n v="37458.160000000003"/>
    <n v="184"/>
    <x v="2"/>
    <d v="2019-09-28T00:00:00"/>
    <s v="Paracetamol"/>
    <x v="2"/>
    <n v="28"/>
    <x v="0"/>
    <s v="High"/>
    <n v="8"/>
    <x v="1"/>
    <s v="August"/>
  </r>
  <r>
    <s v="MiCHAEl bRady"/>
    <n v="57"/>
    <x v="0"/>
    <x v="3"/>
    <x v="0"/>
    <d v="2022-03-30T00:00:00"/>
    <s v="Jasmine Parker"/>
    <s v="Mitchell, and Garcia Saunders"/>
    <x v="1"/>
    <n v="5919.3"/>
    <n v="455"/>
    <x v="2"/>
    <d v="2022-04-11T00:00:00"/>
    <s v="Ibuprofen"/>
    <x v="0"/>
    <n v="12"/>
    <x v="1"/>
    <s v="Low"/>
    <n v="3"/>
    <x v="2"/>
    <s v="March"/>
  </r>
  <r>
    <s v="jOrdan LEON"/>
    <n v="51"/>
    <x v="1"/>
    <x v="3"/>
    <x v="5"/>
    <d v="2023-08-11T00:00:00"/>
    <s v="Christina Lopez"/>
    <s v="Dennis-Roth"/>
    <x v="4"/>
    <n v="21534.720000000001"/>
    <n v="198"/>
    <x v="1"/>
    <d v="2023-08-20T00:00:00"/>
    <s v="Penicillin"/>
    <x v="0"/>
    <n v="9"/>
    <x v="3"/>
    <s v="Medium"/>
    <n v="8"/>
    <x v="4"/>
    <s v="August"/>
  </r>
  <r>
    <s v="kAteLyn cunNINGHam"/>
    <n v="85"/>
    <x v="0"/>
    <x v="6"/>
    <x v="3"/>
    <d v="2021-10-29T00:00:00"/>
    <s v="Richard Franco"/>
    <s v="Mcgee Patton Aguirre, and"/>
    <x v="4"/>
    <n v="43393.919999999998"/>
    <n v="123"/>
    <x v="2"/>
    <d v="2021-11-25T00:00:00"/>
    <s v="Penicillin"/>
    <x v="1"/>
    <n v="27"/>
    <x v="2"/>
    <s v="High"/>
    <n v="10"/>
    <x v="5"/>
    <s v="October"/>
  </r>
  <r>
    <s v="KRyStal mENDoZA"/>
    <n v="51"/>
    <x v="0"/>
    <x v="2"/>
    <x v="0"/>
    <d v="2020-09-18T00:00:00"/>
    <s v="Marc Reid"/>
    <s v="Foster-Thomas"/>
    <x v="1"/>
    <n v="50332.93"/>
    <n v="394"/>
    <x v="1"/>
    <d v="2020-10-12T00:00:00"/>
    <s v="Aspirin"/>
    <x v="2"/>
    <n v="24"/>
    <x v="3"/>
    <s v="High"/>
    <n v="9"/>
    <x v="3"/>
    <s v="September"/>
  </r>
  <r>
    <s v="aLEx RodriGUEz"/>
    <n v="39"/>
    <x v="0"/>
    <x v="4"/>
    <x v="0"/>
    <d v="2021-02-24T00:00:00"/>
    <s v="Ryan Simmons"/>
    <s v="Group Mann"/>
    <x v="2"/>
    <n v="18062.599999999999"/>
    <n v="140"/>
    <x v="0"/>
    <d v="2021-03-17T00:00:00"/>
    <s v="Paracetamol"/>
    <x v="1"/>
    <n v="21"/>
    <x v="3"/>
    <s v="Medium"/>
    <n v="2"/>
    <x v="5"/>
    <s v="February"/>
  </r>
  <r>
    <s v="GeoFfrEy barkER"/>
    <n v="75"/>
    <x v="0"/>
    <x v="5"/>
    <x v="4"/>
    <d v="2023-07-07T00:00:00"/>
    <s v="Clinton Sanchez"/>
    <s v="Martinez-Strickland"/>
    <x v="3"/>
    <n v="30064.18"/>
    <n v="110"/>
    <x v="0"/>
    <d v="2023-07-13T00:00:00"/>
    <s v="Paracetamol"/>
    <x v="0"/>
    <n v="6"/>
    <x v="2"/>
    <s v="High"/>
    <n v="7"/>
    <x v="4"/>
    <s v="July"/>
  </r>
  <r>
    <s v="ALEc miTCheLl"/>
    <n v="46"/>
    <x v="1"/>
    <x v="3"/>
    <x v="4"/>
    <d v="2023-06-26T00:00:00"/>
    <s v="Cindy Gonzalez"/>
    <s v="Shaw Tapia and Barnes,"/>
    <x v="0"/>
    <n v="45440.79"/>
    <n v="462"/>
    <x v="2"/>
    <d v="2023-07-23T00:00:00"/>
    <s v="Ibuprofen"/>
    <x v="1"/>
    <n v="27"/>
    <x v="3"/>
    <s v="High"/>
    <n v="6"/>
    <x v="4"/>
    <s v="June"/>
  </r>
  <r>
    <s v="JasOn joRDaN"/>
    <n v="47"/>
    <x v="0"/>
    <x v="7"/>
    <x v="1"/>
    <d v="2021-11-12T00:00:00"/>
    <s v="Christy Ochoa"/>
    <s v="Morris-Campbell"/>
    <x v="2"/>
    <n v="12073.07"/>
    <n v="400"/>
    <x v="0"/>
    <d v="2021-12-04T00:00:00"/>
    <s v="Paracetamol"/>
    <x v="0"/>
    <n v="22"/>
    <x v="3"/>
    <s v="Medium"/>
    <n v="11"/>
    <x v="5"/>
    <s v="November"/>
  </r>
  <r>
    <s v="philiP ReYES"/>
    <n v="38"/>
    <x v="1"/>
    <x v="3"/>
    <x v="5"/>
    <d v="2021-10-23T00:00:00"/>
    <s v="Gabriel Livingston"/>
    <s v="Anderson Morton and Vang,"/>
    <x v="3"/>
    <n v="48065.46"/>
    <n v="147"/>
    <x v="0"/>
    <d v="2021-11-08T00:00:00"/>
    <s v="Paracetamol"/>
    <x v="2"/>
    <n v="16"/>
    <x v="3"/>
    <s v="High"/>
    <n v="10"/>
    <x v="5"/>
    <s v="October"/>
  </r>
  <r>
    <s v="AarOn BradsHaw"/>
    <n v="25"/>
    <x v="1"/>
    <x v="3"/>
    <x v="5"/>
    <d v="2019-11-30T00:00:00"/>
    <s v="Mackenzie Phillips"/>
    <s v="Olson LLC"/>
    <x v="2"/>
    <n v="16342.36"/>
    <n v="255"/>
    <x v="1"/>
    <d v="2019-12-20T00:00:00"/>
    <s v="Lipitor"/>
    <x v="1"/>
    <n v="20"/>
    <x v="0"/>
    <s v="Medium"/>
    <n v="11"/>
    <x v="1"/>
    <s v="November"/>
  </r>
  <r>
    <s v="ERicA fOrd"/>
    <n v="65"/>
    <x v="0"/>
    <x v="4"/>
    <x v="4"/>
    <d v="2023-03-19T00:00:00"/>
    <s v="Gabriel Lane"/>
    <s v="Juarez and Sons"/>
    <x v="4"/>
    <n v="21767.23"/>
    <n v="410"/>
    <x v="2"/>
    <d v="2023-04-16T00:00:00"/>
    <s v="Lipitor"/>
    <x v="0"/>
    <n v="28"/>
    <x v="1"/>
    <s v="Medium"/>
    <n v="3"/>
    <x v="4"/>
    <s v="March"/>
  </r>
  <r>
    <s v="dr. KAtIe baRReTt DVM"/>
    <n v="50"/>
    <x v="1"/>
    <x v="7"/>
    <x v="4"/>
    <d v="2022-02-02T00:00:00"/>
    <s v="Whitney Chavez"/>
    <s v="Ramos Hansen Clark, and"/>
    <x v="0"/>
    <n v="16055.93"/>
    <n v="393"/>
    <x v="1"/>
    <d v="2022-02-05T00:00:00"/>
    <s v="Aspirin"/>
    <x v="1"/>
    <n v="3"/>
    <x v="3"/>
    <s v="Medium"/>
    <n v="2"/>
    <x v="2"/>
    <s v="February"/>
  </r>
  <r>
    <s v="Jacob youNG"/>
    <n v="40"/>
    <x v="0"/>
    <x v="4"/>
    <x v="1"/>
    <d v="2023-09-25T00:00:00"/>
    <s v="Tara Tucker"/>
    <s v="PLC Aguirre"/>
    <x v="3"/>
    <n v="30123.54"/>
    <n v="423"/>
    <x v="0"/>
    <d v="2023-10-05T00:00:00"/>
    <s v="Aspirin"/>
    <x v="0"/>
    <n v="10"/>
    <x v="3"/>
    <s v="High"/>
    <n v="9"/>
    <x v="4"/>
    <s v="September"/>
  </r>
  <r>
    <s v="amY RAMos"/>
    <n v="70"/>
    <x v="0"/>
    <x v="6"/>
    <x v="5"/>
    <d v="2021-10-28T00:00:00"/>
    <s v="Dustin Alvarez"/>
    <s v="Nelson Baldwin, Boyd and"/>
    <x v="3"/>
    <n v="38572.17"/>
    <n v="123"/>
    <x v="1"/>
    <d v="2021-10-31T00:00:00"/>
    <s v="Ibuprofen"/>
    <x v="1"/>
    <n v="3"/>
    <x v="1"/>
    <s v="High"/>
    <n v="10"/>
    <x v="5"/>
    <s v="October"/>
  </r>
  <r>
    <s v="PaTricK moRAlES"/>
    <n v="56"/>
    <x v="1"/>
    <x v="5"/>
    <x v="4"/>
    <d v="2020-06-16T00:00:00"/>
    <s v="Jessica Conway"/>
    <s v="Martinez, and Moore White"/>
    <x v="0"/>
    <n v="37798.949999999997"/>
    <n v="392"/>
    <x v="0"/>
    <d v="2020-07-14T00:00:00"/>
    <s v="Ibuprofen"/>
    <x v="2"/>
    <n v="28"/>
    <x v="1"/>
    <s v="High"/>
    <n v="6"/>
    <x v="3"/>
    <s v="June"/>
  </r>
  <r>
    <s v="sOpHIA cONwAY"/>
    <n v="25"/>
    <x v="0"/>
    <x v="3"/>
    <x v="2"/>
    <d v="2021-10-07T00:00:00"/>
    <s v="Heidi Wood"/>
    <s v="Barker, Costa Hahn and"/>
    <x v="1"/>
    <n v="38716.36"/>
    <n v="283"/>
    <x v="1"/>
    <d v="2021-11-06T00:00:00"/>
    <s v="Ibuprofen"/>
    <x v="0"/>
    <n v="30"/>
    <x v="0"/>
    <s v="High"/>
    <n v="10"/>
    <x v="5"/>
    <s v="October"/>
  </r>
  <r>
    <s v="jamES mOORE"/>
    <n v="20"/>
    <x v="0"/>
    <x v="2"/>
    <x v="2"/>
    <d v="2021-04-29T00:00:00"/>
    <s v="David Gordon"/>
    <s v="Anderson and Higgins Galvan,"/>
    <x v="2"/>
    <n v="13666.28"/>
    <n v="471"/>
    <x v="2"/>
    <d v="2021-05-17T00:00:00"/>
    <s v="Paracetamol"/>
    <x v="1"/>
    <n v="18"/>
    <x v="0"/>
    <s v="Medium"/>
    <n v="4"/>
    <x v="5"/>
    <s v="April"/>
  </r>
  <r>
    <s v="ChRisTOPHeR cOChRan"/>
    <n v="73"/>
    <x v="1"/>
    <x v="5"/>
    <x v="2"/>
    <d v="2019-05-12T00:00:00"/>
    <s v="Jonathan Thomas"/>
    <s v="Flores-Roman"/>
    <x v="4"/>
    <n v="30753.69"/>
    <n v="236"/>
    <x v="2"/>
    <d v="2019-06-07T00:00:00"/>
    <s v="Lipitor"/>
    <x v="2"/>
    <n v="26"/>
    <x v="2"/>
    <s v="High"/>
    <n v="5"/>
    <x v="1"/>
    <s v="May"/>
  </r>
  <r>
    <s v="RObeRT Carter"/>
    <n v="82"/>
    <x v="0"/>
    <x v="0"/>
    <x v="1"/>
    <d v="2021-09-12T00:00:00"/>
    <s v="Lori Diaz"/>
    <s v="Miller, Moon Boyd and"/>
    <x v="3"/>
    <n v="44278.23"/>
    <n v="295"/>
    <x v="2"/>
    <d v="2021-09-17T00:00:00"/>
    <s v="Aspirin"/>
    <x v="1"/>
    <n v="5"/>
    <x v="2"/>
    <s v="High"/>
    <n v="9"/>
    <x v="5"/>
    <s v="September"/>
  </r>
  <r>
    <s v="moRgAn NGUYEn"/>
    <n v="31"/>
    <x v="0"/>
    <x v="6"/>
    <x v="2"/>
    <d v="2021-01-25T00:00:00"/>
    <s v="Martin Dominguez"/>
    <s v="Inc Harmon"/>
    <x v="2"/>
    <n v="6267.54"/>
    <n v="140"/>
    <x v="0"/>
    <d v="2021-01-27T00:00:00"/>
    <s v="Ibuprofen"/>
    <x v="0"/>
    <n v="2"/>
    <x v="0"/>
    <s v="Low"/>
    <n v="1"/>
    <x v="5"/>
    <s v="January"/>
  </r>
  <r>
    <s v="natHAn MONToYA"/>
    <n v="74"/>
    <x v="0"/>
    <x v="7"/>
    <x v="0"/>
    <d v="2020-05-22T00:00:00"/>
    <s v="Adam Roberts"/>
    <s v="Elliott Jones Hinton, and"/>
    <x v="2"/>
    <n v="26276.79"/>
    <n v="242"/>
    <x v="2"/>
    <d v="2020-06-17T00:00:00"/>
    <s v="Ibuprofen"/>
    <x v="0"/>
    <n v="26"/>
    <x v="2"/>
    <s v="Medium"/>
    <n v="5"/>
    <x v="3"/>
    <s v="May"/>
  </r>
  <r>
    <s v="jOE Berry PhD"/>
    <n v="38"/>
    <x v="1"/>
    <x v="0"/>
    <x v="3"/>
    <d v="2022-06-20T00:00:00"/>
    <s v="Nancy Beck"/>
    <s v="Sons Mckinney and"/>
    <x v="0"/>
    <n v="33171.03"/>
    <n v="319"/>
    <x v="2"/>
    <d v="2022-07-14T00:00:00"/>
    <s v="Aspirin"/>
    <x v="1"/>
    <n v="24"/>
    <x v="3"/>
    <s v="High"/>
    <n v="6"/>
    <x v="2"/>
    <s v="June"/>
  </r>
  <r>
    <s v="daNIeL oRtiz"/>
    <n v="63"/>
    <x v="1"/>
    <x v="5"/>
    <x v="0"/>
    <d v="2020-11-16T00:00:00"/>
    <s v="Christy Hughes"/>
    <s v="Carroll-Howard"/>
    <x v="3"/>
    <n v="44984.24"/>
    <n v="124"/>
    <x v="2"/>
    <d v="2020-12-06T00:00:00"/>
    <s v="Paracetamol"/>
    <x v="0"/>
    <n v="20"/>
    <x v="1"/>
    <s v="High"/>
    <n v="11"/>
    <x v="3"/>
    <s v="November"/>
  </r>
  <r>
    <s v="mATthEw cLaRk"/>
    <n v="62"/>
    <x v="1"/>
    <x v="0"/>
    <x v="1"/>
    <d v="2020-10-09T00:00:00"/>
    <s v="Charles Hernandez"/>
    <s v="and Park, Garcia Lam"/>
    <x v="4"/>
    <n v="27091.86"/>
    <n v="315"/>
    <x v="0"/>
    <d v="2020-10-14T00:00:00"/>
    <s v="Ibuprofen"/>
    <x v="1"/>
    <n v="5"/>
    <x v="1"/>
    <s v="Medium"/>
    <n v="10"/>
    <x v="3"/>
    <s v="October"/>
  </r>
  <r>
    <s v="JAcQuELINE hArDY"/>
    <n v="80"/>
    <x v="0"/>
    <x v="3"/>
    <x v="1"/>
    <d v="2023-12-12T00:00:00"/>
    <s v="Hannah Clay"/>
    <s v="Chavez Valenzuela, and Gutierrez"/>
    <x v="3"/>
    <n v="32387.93"/>
    <n v="264"/>
    <x v="0"/>
    <d v="2023-12-27T00:00:00"/>
    <s v="Ibuprofen"/>
    <x v="0"/>
    <n v="15"/>
    <x v="2"/>
    <s v="High"/>
    <n v="12"/>
    <x v="4"/>
    <s v="December"/>
  </r>
  <r>
    <s v="eMiLY JoSEPh"/>
    <n v="25"/>
    <x v="1"/>
    <x v="5"/>
    <x v="0"/>
    <d v="2022-06-14T00:00:00"/>
    <s v="Steven Dixon"/>
    <s v="Hill-Hernandez"/>
    <x v="4"/>
    <n v="32905.480000000003"/>
    <n v="289"/>
    <x v="1"/>
    <d v="2022-07-03T00:00:00"/>
    <s v="Lipitor"/>
    <x v="2"/>
    <n v="19"/>
    <x v="0"/>
    <s v="High"/>
    <n v="6"/>
    <x v="2"/>
    <s v="June"/>
  </r>
  <r>
    <s v="sarAH HiCKs"/>
    <n v="51"/>
    <x v="0"/>
    <x v="2"/>
    <x v="2"/>
    <d v="2023-02-23T00:00:00"/>
    <s v="Monica Thomas"/>
    <s v="Skinner LLC"/>
    <x v="0"/>
    <n v="1332.34"/>
    <n v="489"/>
    <x v="1"/>
    <d v="2023-03-18T00:00:00"/>
    <s v="Aspirin"/>
    <x v="2"/>
    <n v="23"/>
    <x v="3"/>
    <s v="Low"/>
    <n v="2"/>
    <x v="4"/>
    <s v="February"/>
  </r>
  <r>
    <s v="bRiANa rOsS"/>
    <n v="46"/>
    <x v="1"/>
    <x v="4"/>
    <x v="1"/>
    <d v="2024-04-25T00:00:00"/>
    <s v="Alexander Moore"/>
    <s v="Inc Cox"/>
    <x v="2"/>
    <n v="17702.57"/>
    <n v="385"/>
    <x v="0"/>
    <d v="2024-05-12T00:00:00"/>
    <s v="Ibuprofen"/>
    <x v="1"/>
    <n v="17"/>
    <x v="3"/>
    <s v="Medium"/>
    <n v="4"/>
    <x v="0"/>
    <s v="April"/>
  </r>
  <r>
    <s v="maRY mcculLOUgH"/>
    <n v="18"/>
    <x v="1"/>
    <x v="1"/>
    <x v="3"/>
    <d v="2022-06-08T00:00:00"/>
    <s v="Curtis Mckinney"/>
    <s v="Perez Sons and"/>
    <x v="3"/>
    <n v="33443.550000000003"/>
    <n v="342"/>
    <x v="1"/>
    <d v="2022-06-22T00:00:00"/>
    <s v="Penicillin"/>
    <x v="0"/>
    <n v="14"/>
    <x v="0"/>
    <s v="High"/>
    <n v="6"/>
    <x v="2"/>
    <s v="June"/>
  </r>
  <r>
    <s v="bRIAn OSborNe"/>
    <n v="30"/>
    <x v="1"/>
    <x v="0"/>
    <x v="0"/>
    <d v="2023-12-07T00:00:00"/>
    <s v="Stephanie Shepard"/>
    <s v="Parker Turner, Houston and"/>
    <x v="4"/>
    <n v="23175.5"/>
    <n v="326"/>
    <x v="1"/>
    <d v="2023-12-24T00:00:00"/>
    <s v="Ibuprofen"/>
    <x v="0"/>
    <n v="17"/>
    <x v="0"/>
    <s v="Medium"/>
    <n v="12"/>
    <x v="4"/>
    <s v="December"/>
  </r>
  <r>
    <s v="suSAn WALTerS"/>
    <n v="43"/>
    <x v="0"/>
    <x v="5"/>
    <x v="0"/>
    <d v="2020-11-03T00:00:00"/>
    <s v="Russell Soto"/>
    <s v="Wilson-Chen"/>
    <x v="1"/>
    <n v="14224.31"/>
    <n v="426"/>
    <x v="1"/>
    <d v="2020-12-01T00:00:00"/>
    <s v="Paracetamol"/>
    <x v="2"/>
    <n v="28"/>
    <x v="3"/>
    <s v="Medium"/>
    <n v="11"/>
    <x v="3"/>
    <s v="November"/>
  </r>
  <r>
    <s v="CATHerine HaRVEY"/>
    <n v="21"/>
    <x v="0"/>
    <x v="4"/>
    <x v="4"/>
    <d v="2023-10-03T00:00:00"/>
    <s v="Charles Cardenas"/>
    <s v="Boone-Duffy"/>
    <x v="1"/>
    <n v="23483.5"/>
    <n v="357"/>
    <x v="0"/>
    <d v="2023-10-18T00:00:00"/>
    <s v="Paracetamol"/>
    <x v="0"/>
    <n v="15"/>
    <x v="0"/>
    <s v="Medium"/>
    <n v="10"/>
    <x v="4"/>
    <s v="October"/>
  </r>
  <r>
    <s v="cORY PIERCe"/>
    <n v="28"/>
    <x v="1"/>
    <x v="0"/>
    <x v="4"/>
    <d v="2022-06-11T00:00:00"/>
    <s v="Brandon Montoya"/>
    <s v="Reid-Simmons"/>
    <x v="3"/>
    <n v="31326.73"/>
    <n v="299"/>
    <x v="1"/>
    <d v="2022-06-28T00:00:00"/>
    <s v="Paracetamol"/>
    <x v="2"/>
    <n v="17"/>
    <x v="0"/>
    <s v="High"/>
    <n v="6"/>
    <x v="2"/>
    <s v="June"/>
  </r>
  <r>
    <s v="jeSus jORdan"/>
    <n v="26"/>
    <x v="1"/>
    <x v="7"/>
    <x v="4"/>
    <d v="2021-07-03T00:00:00"/>
    <s v="Andrew Bishop"/>
    <s v="Dunn-Bentley"/>
    <x v="2"/>
    <n v="48651.74"/>
    <n v="124"/>
    <x v="0"/>
    <d v="2021-07-29T00:00:00"/>
    <s v="Penicillin"/>
    <x v="1"/>
    <n v="26"/>
    <x v="0"/>
    <s v="High"/>
    <n v="7"/>
    <x v="5"/>
    <s v="July"/>
  </r>
  <r>
    <s v="ANn dUNCAN"/>
    <n v="24"/>
    <x v="0"/>
    <x v="2"/>
    <x v="3"/>
    <d v="2024-03-19T00:00:00"/>
    <s v="Daniel Sanders"/>
    <s v="Inc Cherry"/>
    <x v="2"/>
    <n v="18932.310000000001"/>
    <n v="115"/>
    <x v="2"/>
    <d v="2024-04-02T00:00:00"/>
    <s v="Penicillin"/>
    <x v="1"/>
    <n v="14"/>
    <x v="0"/>
    <s v="Medium"/>
    <n v="3"/>
    <x v="0"/>
    <s v="March"/>
  </r>
  <r>
    <s v="Sarah pOrTEr"/>
    <n v="55"/>
    <x v="1"/>
    <x v="5"/>
    <x v="2"/>
    <d v="2024-01-11T00:00:00"/>
    <s v="Jeremiah Nunez"/>
    <s v="Zavala-Fernandez"/>
    <x v="0"/>
    <n v="22063.23"/>
    <n v="147"/>
    <x v="2"/>
    <d v="2024-01-30T00:00:00"/>
    <s v="Paracetamol"/>
    <x v="1"/>
    <n v="19"/>
    <x v="3"/>
    <s v="Medium"/>
    <n v="1"/>
    <x v="0"/>
    <s v="January"/>
  </r>
  <r>
    <s v="jACquEliNE DeAN"/>
    <n v="41"/>
    <x v="1"/>
    <x v="1"/>
    <x v="0"/>
    <d v="2021-06-26T00:00:00"/>
    <s v="Carolyn Peters"/>
    <s v="Jones-Fleming"/>
    <x v="1"/>
    <n v="20714.71"/>
    <n v="234"/>
    <x v="0"/>
    <d v="2021-07-21T00:00:00"/>
    <s v="Lipitor"/>
    <x v="1"/>
    <n v="25"/>
    <x v="3"/>
    <s v="Medium"/>
    <n v="6"/>
    <x v="5"/>
    <s v="June"/>
  </r>
  <r>
    <s v="AnNE lam"/>
    <n v="85"/>
    <x v="0"/>
    <x v="3"/>
    <x v="3"/>
    <d v="2024-01-19T00:00:00"/>
    <s v="Paul Ruiz"/>
    <s v="Christian-Hall"/>
    <x v="3"/>
    <n v="34510.879999999997"/>
    <n v="292"/>
    <x v="2"/>
    <d v="2024-02-05T00:00:00"/>
    <s v="Ibuprofen"/>
    <x v="1"/>
    <n v="17"/>
    <x v="2"/>
    <s v="High"/>
    <n v="1"/>
    <x v="0"/>
    <s v="January"/>
  </r>
  <r>
    <s v="jEnnifeR GomEz"/>
    <n v="45"/>
    <x v="0"/>
    <x v="7"/>
    <x v="4"/>
    <d v="2020-12-15T00:00:00"/>
    <s v="Robert Palmer"/>
    <s v="LLC Cabrera"/>
    <x v="0"/>
    <n v="42200.51"/>
    <n v="115"/>
    <x v="2"/>
    <d v="2021-01-13T00:00:00"/>
    <s v="Lipitor"/>
    <x v="1"/>
    <n v="29"/>
    <x v="3"/>
    <s v="High"/>
    <n v="12"/>
    <x v="3"/>
    <s v="December"/>
  </r>
  <r>
    <s v="daVId CuRTIs"/>
    <n v="22"/>
    <x v="1"/>
    <x v="6"/>
    <x v="4"/>
    <d v="2021-05-14T00:00:00"/>
    <s v="Lisa Grimes"/>
    <s v="Hernandez and Delacruz, Kramer"/>
    <x v="4"/>
    <n v="24451.29"/>
    <n v="413"/>
    <x v="1"/>
    <d v="2021-05-28T00:00:00"/>
    <s v="Paracetamol"/>
    <x v="2"/>
    <n v="14"/>
    <x v="0"/>
    <s v="Medium"/>
    <n v="5"/>
    <x v="5"/>
    <s v="May"/>
  </r>
  <r>
    <s v="joSHUa JOHnsON"/>
    <n v="18"/>
    <x v="0"/>
    <x v="6"/>
    <x v="2"/>
    <d v="2021-07-10T00:00:00"/>
    <s v="Ronald Russell"/>
    <s v="Cervantes-Herrera"/>
    <x v="3"/>
    <n v="30289.7"/>
    <n v="165"/>
    <x v="1"/>
    <d v="2021-07-12T00:00:00"/>
    <s v="Paracetamol"/>
    <x v="0"/>
    <n v="2"/>
    <x v="0"/>
    <s v="High"/>
    <n v="7"/>
    <x v="5"/>
    <s v="July"/>
  </r>
  <r>
    <s v="jEReMy bOwen"/>
    <n v="60"/>
    <x v="0"/>
    <x v="0"/>
    <x v="2"/>
    <d v="2020-07-25T00:00:00"/>
    <s v="Tracey Smith"/>
    <s v="Garrison-Mcfarland"/>
    <x v="1"/>
    <n v="35317.49"/>
    <n v="431"/>
    <x v="0"/>
    <d v="2020-07-29T00:00:00"/>
    <s v="Lipitor"/>
    <x v="0"/>
    <n v="4"/>
    <x v="1"/>
    <s v="High"/>
    <n v="7"/>
    <x v="3"/>
    <s v="July"/>
  </r>
  <r>
    <s v="denNIs cLarkE"/>
    <n v="22"/>
    <x v="1"/>
    <x v="4"/>
    <x v="1"/>
    <d v="2019-09-17T00:00:00"/>
    <s v="Mark Baker"/>
    <s v="Warren-Brown"/>
    <x v="4"/>
    <n v="8033.61"/>
    <n v="293"/>
    <x v="2"/>
    <d v="2019-10-01T00:00:00"/>
    <s v="Lipitor"/>
    <x v="1"/>
    <n v="14"/>
    <x v="0"/>
    <s v="Low"/>
    <n v="9"/>
    <x v="1"/>
    <s v="September"/>
  </r>
  <r>
    <s v="jeNNiFER spEnCe"/>
    <n v="65"/>
    <x v="1"/>
    <x v="1"/>
    <x v="1"/>
    <d v="2019-05-14T00:00:00"/>
    <s v="Austin Perry"/>
    <s v="Ruiz Group"/>
    <x v="1"/>
    <n v="7391.53"/>
    <n v="270"/>
    <x v="2"/>
    <d v="2019-05-20T00:00:00"/>
    <s v="Aspirin"/>
    <x v="1"/>
    <n v="6"/>
    <x v="1"/>
    <s v="Low"/>
    <n v="5"/>
    <x v="1"/>
    <s v="May"/>
  </r>
  <r>
    <s v="biLlY fITZGERALd"/>
    <n v="73"/>
    <x v="1"/>
    <x v="6"/>
    <x v="3"/>
    <d v="2020-05-31T00:00:00"/>
    <s v="Dr. Mackenzie Bell"/>
    <s v="Anderson-Brown"/>
    <x v="2"/>
    <n v="35945.879999999997"/>
    <n v="146"/>
    <x v="1"/>
    <d v="2020-06-28T00:00:00"/>
    <s v="Ibuprofen"/>
    <x v="1"/>
    <n v="28"/>
    <x v="2"/>
    <s v="High"/>
    <n v="5"/>
    <x v="3"/>
    <s v="May"/>
  </r>
  <r>
    <s v="krisTEN JamES"/>
    <n v="82"/>
    <x v="1"/>
    <x v="4"/>
    <x v="4"/>
    <d v="2020-03-27T00:00:00"/>
    <s v="Kimberly Calhoun"/>
    <s v="Hull Sons and"/>
    <x v="1"/>
    <n v="10780.74"/>
    <n v="472"/>
    <x v="1"/>
    <d v="2020-04-04T00:00:00"/>
    <s v="Ibuprofen"/>
    <x v="1"/>
    <n v="8"/>
    <x v="2"/>
    <s v="Medium"/>
    <n v="3"/>
    <x v="3"/>
    <s v="March"/>
  </r>
  <r>
    <s v="cAiTLIN bEndEr"/>
    <n v="32"/>
    <x v="1"/>
    <x v="7"/>
    <x v="5"/>
    <d v="2019-12-23T00:00:00"/>
    <s v="Timothy Aguilar"/>
    <s v="Oliver Mcdonald, and Johnson"/>
    <x v="2"/>
    <n v="28743"/>
    <n v="493"/>
    <x v="2"/>
    <d v="2019-12-30T00:00:00"/>
    <s v="Penicillin"/>
    <x v="0"/>
    <n v="7"/>
    <x v="0"/>
    <s v="Medium"/>
    <n v="12"/>
    <x v="1"/>
    <s v="December"/>
  </r>
  <r>
    <s v="bRENda fULleR"/>
    <n v="76"/>
    <x v="0"/>
    <x v="2"/>
    <x v="1"/>
    <d v="2024-02-08T00:00:00"/>
    <s v="Cynthia Stanton MD"/>
    <s v="Lara-Allen"/>
    <x v="0"/>
    <n v="47270.25"/>
    <n v="373"/>
    <x v="2"/>
    <d v="2024-02-16T00:00:00"/>
    <s v="Aspirin"/>
    <x v="2"/>
    <n v="8"/>
    <x v="2"/>
    <s v="High"/>
    <n v="2"/>
    <x v="0"/>
    <s v="February"/>
  </r>
  <r>
    <s v="CASSaNdrA rIcE"/>
    <n v="61"/>
    <x v="1"/>
    <x v="2"/>
    <x v="3"/>
    <d v="2023-09-23T00:00:00"/>
    <s v="Craig Delgado"/>
    <s v="Group Summers"/>
    <x v="2"/>
    <n v="37846.35"/>
    <n v="407"/>
    <x v="1"/>
    <d v="2023-09-24T00:00:00"/>
    <s v="Ibuprofen"/>
    <x v="2"/>
    <n v="1"/>
    <x v="1"/>
    <s v="High"/>
    <n v="9"/>
    <x v="4"/>
    <s v="September"/>
  </r>
  <r>
    <s v="SeRgIO saNcheZ"/>
    <n v="63"/>
    <x v="0"/>
    <x v="4"/>
    <x v="0"/>
    <d v="2020-05-14T00:00:00"/>
    <s v="Courtney Parsons"/>
    <s v="Phillips Medina, Rivera and"/>
    <x v="2"/>
    <n v="46502.77"/>
    <n v="151"/>
    <x v="2"/>
    <d v="2020-05-20T00:00:00"/>
    <s v="Paracetamol"/>
    <x v="1"/>
    <n v="6"/>
    <x v="1"/>
    <s v="High"/>
    <n v="5"/>
    <x v="3"/>
    <s v="May"/>
  </r>
  <r>
    <s v="keviN stein"/>
    <n v="54"/>
    <x v="1"/>
    <x v="6"/>
    <x v="4"/>
    <d v="2020-02-11T00:00:00"/>
    <s v="Sandra Barker"/>
    <s v="LLC Flores"/>
    <x v="2"/>
    <n v="27660.29"/>
    <n v="193"/>
    <x v="0"/>
    <d v="2020-03-01T00:00:00"/>
    <s v="Lipitor"/>
    <x v="0"/>
    <n v="19"/>
    <x v="3"/>
    <s v="Medium"/>
    <n v="2"/>
    <x v="3"/>
    <s v="February"/>
  </r>
  <r>
    <s v="MAUrEEN grANT Md"/>
    <n v="77"/>
    <x v="0"/>
    <x v="4"/>
    <x v="4"/>
    <d v="2021-09-13T00:00:00"/>
    <s v="Michael Hogan"/>
    <s v="Inc Pace"/>
    <x v="3"/>
    <n v="36686.660000000003"/>
    <n v="488"/>
    <x v="0"/>
    <d v="2021-10-09T00:00:00"/>
    <s v="Paracetamol"/>
    <x v="0"/>
    <n v="26"/>
    <x v="2"/>
    <s v="High"/>
    <n v="9"/>
    <x v="5"/>
    <s v="September"/>
  </r>
  <r>
    <s v="SaMantHA gUtIErrez"/>
    <n v="64"/>
    <x v="0"/>
    <x v="6"/>
    <x v="2"/>
    <d v="2020-10-24T00:00:00"/>
    <s v="Toni Perry MD"/>
    <s v="Garcia-Robinson"/>
    <x v="2"/>
    <n v="19563.2"/>
    <n v="148"/>
    <x v="0"/>
    <d v="2020-10-25T00:00:00"/>
    <s v="Penicillin"/>
    <x v="0"/>
    <n v="1"/>
    <x v="1"/>
    <s v="Medium"/>
    <n v="10"/>
    <x v="3"/>
    <s v="October"/>
  </r>
  <r>
    <s v="GEORgE woodwARd"/>
    <n v="69"/>
    <x v="0"/>
    <x v="6"/>
    <x v="5"/>
    <d v="2020-12-29T00:00:00"/>
    <s v="William Bailey"/>
    <s v="Snow-Day"/>
    <x v="2"/>
    <n v="23523.599999999999"/>
    <n v="106"/>
    <x v="2"/>
    <d v="2021-01-21T00:00:00"/>
    <s v="Aspirin"/>
    <x v="1"/>
    <n v="23"/>
    <x v="1"/>
    <s v="Medium"/>
    <n v="12"/>
    <x v="3"/>
    <s v="December"/>
  </r>
  <r>
    <s v="sHaNe TaTe"/>
    <n v="31"/>
    <x v="0"/>
    <x v="3"/>
    <x v="0"/>
    <d v="2024-03-19T00:00:00"/>
    <s v="Tiffany Ortega"/>
    <s v="Inc Rangel"/>
    <x v="4"/>
    <n v="50563.8"/>
    <n v="441"/>
    <x v="0"/>
    <d v="2024-04-07T00:00:00"/>
    <s v="Penicillin"/>
    <x v="1"/>
    <n v="19"/>
    <x v="0"/>
    <s v="High"/>
    <n v="3"/>
    <x v="0"/>
    <s v="March"/>
  </r>
  <r>
    <s v="KErRY HaWkiNs"/>
    <n v="40"/>
    <x v="0"/>
    <x v="7"/>
    <x v="5"/>
    <d v="2021-12-13T00:00:00"/>
    <s v="Willie Lowery"/>
    <s v="Irwin-Kaufman"/>
    <x v="3"/>
    <n v="15518.46"/>
    <n v="450"/>
    <x v="1"/>
    <d v="2021-12-19T00:00:00"/>
    <s v="Penicillin"/>
    <x v="2"/>
    <n v="6"/>
    <x v="3"/>
    <s v="Medium"/>
    <n v="12"/>
    <x v="5"/>
    <s v="December"/>
  </r>
  <r>
    <s v="mARissA mORa"/>
    <n v="50"/>
    <x v="0"/>
    <x v="7"/>
    <x v="3"/>
    <d v="2022-05-17T00:00:00"/>
    <s v="Jaime Allen"/>
    <s v="Brown and Colon, Anderson"/>
    <x v="4"/>
    <n v="42150.7"/>
    <n v="388"/>
    <x v="0"/>
    <d v="2022-06-03T00:00:00"/>
    <s v="Paracetamol"/>
    <x v="2"/>
    <n v="17"/>
    <x v="3"/>
    <s v="High"/>
    <n v="5"/>
    <x v="2"/>
    <s v="May"/>
  </r>
  <r>
    <s v="rICKy mEYeR"/>
    <n v="83"/>
    <x v="1"/>
    <x v="2"/>
    <x v="5"/>
    <d v="2022-12-01T00:00:00"/>
    <s v="Becky Jones"/>
    <s v="and Peterson, Rodriguez Murphy"/>
    <x v="4"/>
    <n v="42192.99"/>
    <n v="199"/>
    <x v="1"/>
    <d v="2022-12-17T00:00:00"/>
    <s v="Paracetamol"/>
    <x v="2"/>
    <n v="16"/>
    <x v="2"/>
    <s v="High"/>
    <n v="12"/>
    <x v="2"/>
    <s v="December"/>
  </r>
  <r>
    <s v="EDWArd JOneS jR."/>
    <n v="23"/>
    <x v="1"/>
    <x v="7"/>
    <x v="0"/>
    <d v="2020-03-16T00:00:00"/>
    <s v="Tiffany Frank"/>
    <s v="and Frederick, Jones Garcia"/>
    <x v="0"/>
    <n v="3925.93"/>
    <n v="333"/>
    <x v="1"/>
    <d v="2020-03-22T00:00:00"/>
    <s v="Lipitor"/>
    <x v="0"/>
    <n v="6"/>
    <x v="0"/>
    <s v="Low"/>
    <n v="3"/>
    <x v="3"/>
    <s v="March"/>
  </r>
  <r>
    <s v="HeatHER mELeNdez"/>
    <n v="68"/>
    <x v="1"/>
    <x v="4"/>
    <x v="5"/>
    <d v="2020-10-20T00:00:00"/>
    <s v="Joe Mora"/>
    <s v="and Fuentes Rogers Gill,"/>
    <x v="2"/>
    <n v="12605.75"/>
    <n v="350"/>
    <x v="1"/>
    <d v="2020-10-27T00:00:00"/>
    <s v="Paracetamol"/>
    <x v="1"/>
    <n v="7"/>
    <x v="1"/>
    <s v="Medium"/>
    <n v="10"/>
    <x v="3"/>
    <s v="October"/>
  </r>
  <r>
    <s v="jesSIcA mAciaS"/>
    <n v="37"/>
    <x v="0"/>
    <x v="5"/>
    <x v="3"/>
    <d v="2024-01-05T00:00:00"/>
    <s v="Teresa Tucker"/>
    <s v="Group Schneider"/>
    <x v="0"/>
    <n v="7421.18"/>
    <n v="154"/>
    <x v="0"/>
    <d v="2024-01-27T00:00:00"/>
    <s v="Penicillin"/>
    <x v="1"/>
    <n v="22"/>
    <x v="3"/>
    <s v="Low"/>
    <n v="1"/>
    <x v="0"/>
    <s v="January"/>
  </r>
  <r>
    <s v="JaMIe leACh"/>
    <n v="24"/>
    <x v="1"/>
    <x v="0"/>
    <x v="5"/>
    <d v="2023-08-17T00:00:00"/>
    <s v="Ruben Cross"/>
    <s v="Sandoval-Bennett"/>
    <x v="4"/>
    <n v="24561.74"/>
    <n v="216"/>
    <x v="1"/>
    <d v="2023-09-01T00:00:00"/>
    <s v="Aspirin"/>
    <x v="2"/>
    <n v="15"/>
    <x v="0"/>
    <s v="Medium"/>
    <n v="8"/>
    <x v="4"/>
    <s v="August"/>
  </r>
  <r>
    <s v="matThEW sImMoNs"/>
    <n v="21"/>
    <x v="0"/>
    <x v="0"/>
    <x v="2"/>
    <d v="2023-03-31T00:00:00"/>
    <s v="Timothy Choi"/>
    <s v="Young Ltd"/>
    <x v="4"/>
    <n v="32854.15"/>
    <n v="132"/>
    <x v="1"/>
    <d v="2023-04-22T00:00:00"/>
    <s v="Lipitor"/>
    <x v="2"/>
    <n v="22"/>
    <x v="0"/>
    <s v="High"/>
    <n v="3"/>
    <x v="4"/>
    <s v="March"/>
  </r>
  <r>
    <s v="SHeILA bAXtEr"/>
    <n v="46"/>
    <x v="1"/>
    <x v="5"/>
    <x v="2"/>
    <d v="2022-11-21T00:00:00"/>
    <s v="Robert Lester"/>
    <s v="Lopez-Brooks"/>
    <x v="2"/>
    <n v="18828.759999999998"/>
    <n v="194"/>
    <x v="2"/>
    <d v="2022-11-22T00:00:00"/>
    <s v="Ibuprofen"/>
    <x v="2"/>
    <n v="1"/>
    <x v="3"/>
    <s v="Medium"/>
    <n v="11"/>
    <x v="2"/>
    <s v="November"/>
  </r>
  <r>
    <s v="DAVE PaRrISH"/>
    <n v="61"/>
    <x v="1"/>
    <x v="6"/>
    <x v="5"/>
    <d v="2020-08-24T00:00:00"/>
    <s v="Sandra Bender"/>
    <s v="Leblanc Conway, Holt and"/>
    <x v="2"/>
    <n v="34381.69"/>
    <n v="330"/>
    <x v="0"/>
    <d v="2020-09-06T00:00:00"/>
    <s v="Lipitor"/>
    <x v="1"/>
    <n v="13"/>
    <x v="1"/>
    <s v="High"/>
    <n v="8"/>
    <x v="3"/>
    <s v="August"/>
  </r>
  <r>
    <s v="brYaN SteWart"/>
    <n v="25"/>
    <x v="0"/>
    <x v="7"/>
    <x v="5"/>
    <d v="2022-02-12T00:00:00"/>
    <s v="Martin Smith"/>
    <s v="Ltd Roberts"/>
    <x v="2"/>
    <n v="31501.72"/>
    <n v="475"/>
    <x v="2"/>
    <d v="2022-03-03T00:00:00"/>
    <s v="Ibuprofen"/>
    <x v="1"/>
    <n v="19"/>
    <x v="0"/>
    <s v="High"/>
    <n v="2"/>
    <x v="2"/>
    <s v="February"/>
  </r>
  <r>
    <s v="JaMes beLL"/>
    <n v="75"/>
    <x v="1"/>
    <x v="2"/>
    <x v="5"/>
    <d v="2023-08-15T00:00:00"/>
    <s v="Martha Johnson"/>
    <s v="and Carter Sons"/>
    <x v="1"/>
    <n v="12098.03"/>
    <n v="387"/>
    <x v="2"/>
    <d v="2023-09-04T00:00:00"/>
    <s v="Lipitor"/>
    <x v="2"/>
    <n v="20"/>
    <x v="2"/>
    <s v="Medium"/>
    <n v="8"/>
    <x v="4"/>
    <s v="August"/>
  </r>
  <r>
    <s v="Joshua LOve"/>
    <n v="43"/>
    <x v="1"/>
    <x v="7"/>
    <x v="2"/>
    <d v="2023-01-13T00:00:00"/>
    <s v="Mercedes Harris"/>
    <s v="Moore and Rhodes Lang,"/>
    <x v="3"/>
    <n v="39547.379999999997"/>
    <n v="436"/>
    <x v="2"/>
    <d v="2023-02-01T00:00:00"/>
    <s v="Paracetamol"/>
    <x v="1"/>
    <n v="19"/>
    <x v="3"/>
    <s v="High"/>
    <n v="1"/>
    <x v="4"/>
    <s v="January"/>
  </r>
  <r>
    <s v="rObErT CLArk"/>
    <n v="38"/>
    <x v="1"/>
    <x v="0"/>
    <x v="1"/>
    <d v="2020-04-28T00:00:00"/>
    <s v="Gregory Chung"/>
    <s v="Poole LLC"/>
    <x v="2"/>
    <n v="6486.24"/>
    <n v="283"/>
    <x v="2"/>
    <d v="2020-05-20T00:00:00"/>
    <s v="Aspirin"/>
    <x v="2"/>
    <n v="22"/>
    <x v="3"/>
    <s v="Low"/>
    <n v="4"/>
    <x v="3"/>
    <s v="April"/>
  </r>
  <r>
    <s v="marisa GOlDEN"/>
    <n v="28"/>
    <x v="0"/>
    <x v="4"/>
    <x v="5"/>
    <d v="2022-10-21T00:00:00"/>
    <s v="James Young"/>
    <s v="Hansen-Torres"/>
    <x v="1"/>
    <n v="46657.69"/>
    <n v="265"/>
    <x v="0"/>
    <d v="2022-10-22T00:00:00"/>
    <s v="Penicillin"/>
    <x v="1"/>
    <n v="1"/>
    <x v="0"/>
    <s v="High"/>
    <n v="10"/>
    <x v="2"/>
    <s v="October"/>
  </r>
  <r>
    <s v="NanCy HaMIltOn"/>
    <n v="80"/>
    <x v="0"/>
    <x v="3"/>
    <x v="4"/>
    <d v="2022-12-15T00:00:00"/>
    <s v="Carla Combs"/>
    <s v="Park-Douglas"/>
    <x v="2"/>
    <n v="31709.47"/>
    <n v="168"/>
    <x v="0"/>
    <d v="2022-12-25T00:00:00"/>
    <s v="Paracetamol"/>
    <x v="2"/>
    <n v="10"/>
    <x v="2"/>
    <s v="High"/>
    <n v="12"/>
    <x v="2"/>
    <s v="December"/>
  </r>
  <r>
    <s v="BRyaN bOwERS"/>
    <n v="63"/>
    <x v="1"/>
    <x v="3"/>
    <x v="3"/>
    <d v="2020-09-01T00:00:00"/>
    <s v="Peter Martinez"/>
    <s v="Ruiz, Scott Mitchell and"/>
    <x v="0"/>
    <n v="9894.81"/>
    <n v="403"/>
    <x v="1"/>
    <d v="2020-10-01T00:00:00"/>
    <s v="Ibuprofen"/>
    <x v="1"/>
    <n v="30"/>
    <x v="1"/>
    <s v="Low"/>
    <n v="9"/>
    <x v="3"/>
    <s v="September"/>
  </r>
  <r>
    <s v="NIColE mArTIN"/>
    <n v="75"/>
    <x v="1"/>
    <x v="5"/>
    <x v="0"/>
    <d v="2019-11-18T00:00:00"/>
    <s v="Christopher Spears"/>
    <s v="and Rodriguez Gallegos Henry,"/>
    <x v="0"/>
    <n v="29995.43"/>
    <n v="433"/>
    <x v="1"/>
    <d v="2019-12-11T00:00:00"/>
    <s v="Paracetamol"/>
    <x v="2"/>
    <n v="23"/>
    <x v="2"/>
    <s v="Medium"/>
    <n v="11"/>
    <x v="1"/>
    <s v="November"/>
  </r>
  <r>
    <s v="WillIam HaRmON"/>
    <n v="59"/>
    <x v="1"/>
    <x v="3"/>
    <x v="5"/>
    <d v="2022-08-22T00:00:00"/>
    <s v="Carrie Howell"/>
    <s v="Ltd Miller"/>
    <x v="1"/>
    <n v="7796.26"/>
    <n v="144"/>
    <x v="0"/>
    <d v="2022-08-30T00:00:00"/>
    <s v="Ibuprofen"/>
    <x v="1"/>
    <n v="8"/>
    <x v="1"/>
    <s v="Low"/>
    <n v="8"/>
    <x v="2"/>
    <s v="August"/>
  </r>
  <r>
    <s v="TOM BRoWN"/>
    <n v="27"/>
    <x v="0"/>
    <x v="1"/>
    <x v="2"/>
    <d v="2020-08-01T00:00:00"/>
    <s v="Tina Ray"/>
    <s v="Turner Bradford and Allison,"/>
    <x v="0"/>
    <n v="48965.18"/>
    <n v="251"/>
    <x v="1"/>
    <d v="2020-08-26T00:00:00"/>
    <s v="Aspirin"/>
    <x v="2"/>
    <n v="25"/>
    <x v="0"/>
    <s v="High"/>
    <n v="8"/>
    <x v="3"/>
    <s v="August"/>
  </r>
  <r>
    <s v="CynthIa NeLSoN"/>
    <n v="77"/>
    <x v="0"/>
    <x v="1"/>
    <x v="5"/>
    <d v="2024-01-18T00:00:00"/>
    <s v="Debbie Jones"/>
    <s v="Goodwin Ltd"/>
    <x v="2"/>
    <n v="16128.25"/>
    <n v="404"/>
    <x v="1"/>
    <d v="2024-02-15T00:00:00"/>
    <s v="Penicillin"/>
    <x v="1"/>
    <n v="28"/>
    <x v="2"/>
    <s v="Medium"/>
    <n v="1"/>
    <x v="0"/>
    <s v="January"/>
  </r>
  <r>
    <s v="TODD gROSS"/>
    <n v="19"/>
    <x v="1"/>
    <x v="0"/>
    <x v="3"/>
    <d v="2020-03-17T00:00:00"/>
    <s v="Anthony Ortiz"/>
    <s v="Carrillo-Price"/>
    <x v="1"/>
    <n v="16920.16"/>
    <n v="206"/>
    <x v="1"/>
    <d v="2020-04-10T00:00:00"/>
    <s v="Lipitor"/>
    <x v="2"/>
    <n v="24"/>
    <x v="0"/>
    <s v="Medium"/>
    <n v="3"/>
    <x v="3"/>
    <s v="March"/>
  </r>
  <r>
    <s v="sTEphAnie cHung"/>
    <n v="58"/>
    <x v="0"/>
    <x v="4"/>
    <x v="5"/>
    <d v="2022-08-15T00:00:00"/>
    <s v="Jason Stewart"/>
    <s v="and Sons Lee"/>
    <x v="2"/>
    <n v="49861.87"/>
    <n v="207"/>
    <x v="1"/>
    <d v="2022-09-01T00:00:00"/>
    <s v="Ibuprofen"/>
    <x v="2"/>
    <n v="17"/>
    <x v="1"/>
    <s v="High"/>
    <n v="8"/>
    <x v="2"/>
    <s v="August"/>
  </r>
  <r>
    <s v="KayLA PeREZ"/>
    <n v="57"/>
    <x v="0"/>
    <x v="4"/>
    <x v="0"/>
    <d v="2023-05-15T00:00:00"/>
    <s v="Derek Dorsey"/>
    <s v="Rogers-Robles"/>
    <x v="0"/>
    <n v="36287.39"/>
    <n v="263"/>
    <x v="2"/>
    <d v="2023-05-19T00:00:00"/>
    <s v="Lipitor"/>
    <x v="1"/>
    <n v="4"/>
    <x v="1"/>
    <s v="High"/>
    <n v="5"/>
    <x v="4"/>
    <s v="May"/>
  </r>
  <r>
    <s v="paul marTInez"/>
    <n v="59"/>
    <x v="0"/>
    <x v="1"/>
    <x v="4"/>
    <d v="2019-06-27T00:00:00"/>
    <s v="William Carter"/>
    <s v="Massey Inc"/>
    <x v="1"/>
    <n v="48035.37"/>
    <n v="414"/>
    <x v="0"/>
    <d v="2019-07-19T00:00:00"/>
    <s v="Ibuprofen"/>
    <x v="2"/>
    <n v="22"/>
    <x v="1"/>
    <s v="High"/>
    <n v="6"/>
    <x v="1"/>
    <s v="June"/>
  </r>
  <r>
    <s v="joshuA neLson"/>
    <n v="62"/>
    <x v="0"/>
    <x v="6"/>
    <x v="4"/>
    <d v="2023-10-29T00:00:00"/>
    <s v="Angel Jones"/>
    <s v="Arias-Galvan"/>
    <x v="2"/>
    <n v="22030.69"/>
    <n v="132"/>
    <x v="0"/>
    <d v="2023-11-14T00:00:00"/>
    <s v="Lipitor"/>
    <x v="0"/>
    <n v="16"/>
    <x v="1"/>
    <s v="Medium"/>
    <n v="10"/>
    <x v="4"/>
    <s v="October"/>
  </r>
  <r>
    <s v="JAkE COpeLand"/>
    <n v="71"/>
    <x v="0"/>
    <x v="5"/>
    <x v="2"/>
    <d v="2024-01-09T00:00:00"/>
    <s v="Christopher Fowler"/>
    <s v="Scott-Moore"/>
    <x v="3"/>
    <n v="45665.85"/>
    <n v="387"/>
    <x v="2"/>
    <d v="2024-01-20T00:00:00"/>
    <s v="Penicillin"/>
    <x v="1"/>
    <n v="11"/>
    <x v="2"/>
    <s v="High"/>
    <n v="1"/>
    <x v="0"/>
    <s v="January"/>
  </r>
  <r>
    <s v="mAria GArdNEr"/>
    <n v="35"/>
    <x v="1"/>
    <x v="6"/>
    <x v="0"/>
    <d v="2020-08-23T00:00:00"/>
    <s v="Stephanie Herrera"/>
    <s v="Jarvis-Roberts"/>
    <x v="2"/>
    <n v="4415.75"/>
    <n v="180"/>
    <x v="1"/>
    <d v="2020-08-29T00:00:00"/>
    <s v="Lipitor"/>
    <x v="1"/>
    <n v="6"/>
    <x v="0"/>
    <s v="Low"/>
    <n v="8"/>
    <x v="3"/>
    <s v="August"/>
  </r>
  <r>
    <s v="jAnEt ROBERTs DDS"/>
    <n v="34"/>
    <x v="0"/>
    <x v="4"/>
    <x v="3"/>
    <d v="2020-01-07T00:00:00"/>
    <s v="Scott Herring"/>
    <s v="Clay LLC"/>
    <x v="0"/>
    <n v="41122.29"/>
    <n v="440"/>
    <x v="0"/>
    <d v="2020-01-12T00:00:00"/>
    <s v="Paracetamol"/>
    <x v="0"/>
    <n v="5"/>
    <x v="0"/>
    <s v="High"/>
    <n v="1"/>
    <x v="3"/>
    <s v="January"/>
  </r>
  <r>
    <s v="pETeR ramSey"/>
    <n v="84"/>
    <x v="1"/>
    <x v="7"/>
    <x v="5"/>
    <d v="2019-10-25T00:00:00"/>
    <s v="Angela Cook"/>
    <s v="Quinn, Bentley and Allen"/>
    <x v="4"/>
    <n v="28401.56"/>
    <n v="377"/>
    <x v="2"/>
    <d v="2019-11-15T00:00:00"/>
    <s v="Ibuprofen"/>
    <x v="1"/>
    <n v="21"/>
    <x v="2"/>
    <s v="Medium"/>
    <n v="10"/>
    <x v="1"/>
    <s v="October"/>
  </r>
  <r>
    <s v="AsHley farmER"/>
    <n v="77"/>
    <x v="1"/>
    <x v="4"/>
    <x v="2"/>
    <d v="2023-09-20T00:00:00"/>
    <s v="Michael Davis"/>
    <s v="Williams PLC"/>
    <x v="3"/>
    <n v="28228.69"/>
    <n v="277"/>
    <x v="0"/>
    <d v="2023-10-08T00:00:00"/>
    <s v="Paracetamol"/>
    <x v="1"/>
    <n v="18"/>
    <x v="2"/>
    <s v="Medium"/>
    <n v="9"/>
    <x v="4"/>
    <s v="September"/>
  </r>
  <r>
    <s v="kaTHerInE haLE"/>
    <n v="85"/>
    <x v="0"/>
    <x v="6"/>
    <x v="5"/>
    <d v="2020-01-12T00:00:00"/>
    <s v="Thomas Hunt"/>
    <s v="Griffith Mccullough Mendoza, and"/>
    <x v="3"/>
    <n v="2106.39"/>
    <n v="375"/>
    <x v="0"/>
    <d v="2020-01-23T00:00:00"/>
    <s v="Penicillin"/>
    <x v="1"/>
    <n v="11"/>
    <x v="2"/>
    <s v="Low"/>
    <n v="1"/>
    <x v="3"/>
    <s v="January"/>
  </r>
  <r>
    <s v="GAry BOWEN"/>
    <n v="34"/>
    <x v="1"/>
    <x v="6"/>
    <x v="3"/>
    <d v="2019-06-04T00:00:00"/>
    <s v="Dylan Hale"/>
    <s v="Meyers-Moore"/>
    <x v="0"/>
    <n v="47398.59"/>
    <n v="431"/>
    <x v="0"/>
    <d v="2019-06-07T00:00:00"/>
    <s v="Ibuprofen"/>
    <x v="0"/>
    <n v="3"/>
    <x v="0"/>
    <s v="High"/>
    <n v="6"/>
    <x v="1"/>
    <s v="June"/>
  </r>
  <r>
    <s v="LaURA rYan"/>
    <n v="72"/>
    <x v="1"/>
    <x v="5"/>
    <x v="3"/>
    <d v="2021-12-14T00:00:00"/>
    <s v="Bradley Holt"/>
    <s v="Blair-Bell"/>
    <x v="2"/>
    <n v="47454.59"/>
    <n v="293"/>
    <x v="1"/>
    <d v="2021-12-24T00:00:00"/>
    <s v="Aspirin"/>
    <x v="2"/>
    <n v="10"/>
    <x v="2"/>
    <s v="High"/>
    <n v="12"/>
    <x v="5"/>
    <s v="December"/>
  </r>
  <r>
    <s v="TiMoThY lOpeZ"/>
    <n v="33"/>
    <x v="1"/>
    <x v="2"/>
    <x v="2"/>
    <d v="2023-05-30T00:00:00"/>
    <s v="Sandra Powers"/>
    <s v="Lester-Fletcher"/>
    <x v="4"/>
    <n v="22257.61"/>
    <n v="243"/>
    <x v="0"/>
    <d v="2023-06-01T00:00:00"/>
    <s v="Ibuprofen"/>
    <x v="2"/>
    <n v="2"/>
    <x v="0"/>
    <s v="Medium"/>
    <n v="5"/>
    <x v="4"/>
    <s v="May"/>
  </r>
  <r>
    <s v="ANThoNy gUZmAn"/>
    <n v="80"/>
    <x v="1"/>
    <x v="5"/>
    <x v="5"/>
    <d v="2019-08-26T00:00:00"/>
    <s v="Evan Campbell"/>
    <s v="Rodriguez LLC"/>
    <x v="0"/>
    <n v="30324.07"/>
    <n v="159"/>
    <x v="0"/>
    <d v="2019-09-15T00:00:00"/>
    <s v="Penicillin"/>
    <x v="2"/>
    <n v="20"/>
    <x v="2"/>
    <s v="High"/>
    <n v="8"/>
    <x v="1"/>
    <s v="August"/>
  </r>
  <r>
    <s v="MIChael ShaRP"/>
    <n v="24"/>
    <x v="1"/>
    <x v="7"/>
    <x v="5"/>
    <d v="2019-11-16T00:00:00"/>
    <s v="Sylvia Villarreal"/>
    <s v="LLC Baldwin"/>
    <x v="1"/>
    <n v="10053.92"/>
    <n v="371"/>
    <x v="1"/>
    <d v="2019-12-02T00:00:00"/>
    <s v="Aspirin"/>
    <x v="2"/>
    <n v="16"/>
    <x v="0"/>
    <s v="Medium"/>
    <n v="11"/>
    <x v="1"/>
    <s v="November"/>
  </r>
  <r>
    <s v="daVId CarrOlL"/>
    <n v="44"/>
    <x v="1"/>
    <x v="2"/>
    <x v="5"/>
    <d v="2022-04-23T00:00:00"/>
    <s v="Matthew Hopkins"/>
    <s v="Riley PLC"/>
    <x v="1"/>
    <n v="9823.2999999999993"/>
    <n v="304"/>
    <x v="2"/>
    <d v="2022-05-19T00:00:00"/>
    <s v="Lipitor"/>
    <x v="0"/>
    <n v="26"/>
    <x v="3"/>
    <s v="Low"/>
    <n v="4"/>
    <x v="2"/>
    <s v="April"/>
  </r>
  <r>
    <s v="Connor BARTOn"/>
    <n v="32"/>
    <x v="1"/>
    <x v="6"/>
    <x v="3"/>
    <d v="2020-02-20T00:00:00"/>
    <s v="Joseph Miller"/>
    <s v="Snyder-Perry"/>
    <x v="1"/>
    <n v="17862.689999999999"/>
    <n v="482"/>
    <x v="2"/>
    <d v="2020-02-21T00:00:00"/>
    <s v="Paracetamol"/>
    <x v="1"/>
    <n v="1"/>
    <x v="0"/>
    <s v="Medium"/>
    <n v="2"/>
    <x v="3"/>
    <s v="February"/>
  </r>
  <r>
    <s v="AnGElA SCOtT"/>
    <n v="83"/>
    <x v="0"/>
    <x v="6"/>
    <x v="1"/>
    <d v="2022-10-19T00:00:00"/>
    <s v="Charles Palmer"/>
    <s v="Perez-Carlson"/>
    <x v="0"/>
    <n v="17855.8"/>
    <n v="349"/>
    <x v="1"/>
    <d v="2022-11-10T00:00:00"/>
    <s v="Ibuprofen"/>
    <x v="1"/>
    <n v="22"/>
    <x v="2"/>
    <s v="Medium"/>
    <n v="10"/>
    <x v="2"/>
    <s v="October"/>
  </r>
  <r>
    <s v="DAvID ORTiz"/>
    <n v="80"/>
    <x v="0"/>
    <x v="7"/>
    <x v="5"/>
    <d v="2022-02-05T00:00:00"/>
    <s v="Michael Walters"/>
    <s v="Richardson Mccormick, Cruz and"/>
    <x v="4"/>
    <n v="40178.46"/>
    <n v="396"/>
    <x v="2"/>
    <d v="2022-02-18T00:00:00"/>
    <s v="Penicillin"/>
    <x v="1"/>
    <n v="13"/>
    <x v="2"/>
    <s v="High"/>
    <n v="2"/>
    <x v="2"/>
    <s v="February"/>
  </r>
  <r>
    <s v="paTRicK pierce"/>
    <n v="41"/>
    <x v="1"/>
    <x v="6"/>
    <x v="0"/>
    <d v="2019-08-01T00:00:00"/>
    <s v="Scott Smith"/>
    <s v="Underwood-Mcguire"/>
    <x v="4"/>
    <n v="24690.22"/>
    <n v="320"/>
    <x v="1"/>
    <d v="2019-08-09T00:00:00"/>
    <s v="Ibuprofen"/>
    <x v="2"/>
    <n v="8"/>
    <x v="3"/>
    <s v="Medium"/>
    <n v="8"/>
    <x v="1"/>
    <s v="August"/>
  </r>
  <r>
    <s v="KeiTH JohnSoN"/>
    <n v="39"/>
    <x v="0"/>
    <x v="7"/>
    <x v="5"/>
    <d v="2021-06-19T00:00:00"/>
    <s v="Nicole Jensen"/>
    <s v="Galvan, Lopez Salazar and"/>
    <x v="3"/>
    <n v="21862.06"/>
    <n v="497"/>
    <x v="2"/>
    <d v="2021-07-16T00:00:00"/>
    <s v="Aspirin"/>
    <x v="0"/>
    <n v="27"/>
    <x v="3"/>
    <s v="Medium"/>
    <n v="6"/>
    <x v="5"/>
    <s v="June"/>
  </r>
  <r>
    <s v="antonio smITh"/>
    <n v="55"/>
    <x v="0"/>
    <x v="7"/>
    <x v="3"/>
    <d v="2020-06-28T00:00:00"/>
    <s v="Brent Dickerson"/>
    <s v="Fisher-Perez"/>
    <x v="2"/>
    <n v="29790.85"/>
    <n v="142"/>
    <x v="0"/>
    <d v="2020-07-24T00:00:00"/>
    <s v="Ibuprofen"/>
    <x v="0"/>
    <n v="26"/>
    <x v="3"/>
    <s v="Medium"/>
    <n v="6"/>
    <x v="3"/>
    <s v="June"/>
  </r>
  <r>
    <s v="jOHN TaYlOR"/>
    <n v="59"/>
    <x v="0"/>
    <x v="2"/>
    <x v="3"/>
    <d v="2019-10-06T00:00:00"/>
    <s v="Nicole Young"/>
    <s v="Maldonado Anderson and Adkins,"/>
    <x v="4"/>
    <n v="6539.76"/>
    <n v="270"/>
    <x v="0"/>
    <d v="2019-10-24T00:00:00"/>
    <s v="Aspirin"/>
    <x v="2"/>
    <n v="18"/>
    <x v="1"/>
    <s v="Low"/>
    <n v="10"/>
    <x v="1"/>
    <s v="October"/>
  </r>
  <r>
    <s v="barbAra stEwarT"/>
    <n v="34"/>
    <x v="1"/>
    <x v="2"/>
    <x v="3"/>
    <d v="2022-07-17T00:00:00"/>
    <s v="Jared Kemp"/>
    <s v="Ruiz PLC"/>
    <x v="2"/>
    <n v="20453.32"/>
    <n v="445"/>
    <x v="0"/>
    <d v="2022-07-23T00:00:00"/>
    <s v="Paracetamol"/>
    <x v="1"/>
    <n v="6"/>
    <x v="0"/>
    <s v="Medium"/>
    <n v="7"/>
    <x v="2"/>
    <s v="July"/>
  </r>
  <r>
    <s v="lArRy TaNnEr"/>
    <n v="27"/>
    <x v="1"/>
    <x v="3"/>
    <x v="4"/>
    <d v="2021-05-22T00:00:00"/>
    <s v="Dennis Gilbert"/>
    <s v="Ltd Watts"/>
    <x v="4"/>
    <n v="6827.7"/>
    <n v="119"/>
    <x v="0"/>
    <d v="2021-06-09T00:00:00"/>
    <s v="Paracetamol"/>
    <x v="0"/>
    <n v="18"/>
    <x v="0"/>
    <s v="Low"/>
    <n v="5"/>
    <x v="5"/>
    <s v="May"/>
  </r>
  <r>
    <s v="MAllORy diAz"/>
    <n v="56"/>
    <x v="1"/>
    <x v="3"/>
    <x v="2"/>
    <d v="2022-08-16T00:00:00"/>
    <s v="William Mcguire"/>
    <s v="and Martinez Sons"/>
    <x v="4"/>
    <n v="7557.6"/>
    <n v="264"/>
    <x v="0"/>
    <d v="2022-09-04T00:00:00"/>
    <s v="Aspirin"/>
    <x v="1"/>
    <n v="19"/>
    <x v="1"/>
    <s v="Low"/>
    <n v="8"/>
    <x v="2"/>
    <s v="August"/>
  </r>
  <r>
    <s v="jOhN WILLiams"/>
    <n v="60"/>
    <x v="1"/>
    <x v="1"/>
    <x v="0"/>
    <d v="2021-03-31T00:00:00"/>
    <s v="Jesus Wagner"/>
    <s v="Harrington-Marshall"/>
    <x v="2"/>
    <n v="15364.48"/>
    <n v="181"/>
    <x v="1"/>
    <d v="2021-04-18T00:00:00"/>
    <s v="Ibuprofen"/>
    <x v="2"/>
    <n v="18"/>
    <x v="1"/>
    <s v="Medium"/>
    <n v="3"/>
    <x v="5"/>
    <s v="March"/>
  </r>
  <r>
    <s v="peter miller"/>
    <n v="71"/>
    <x v="1"/>
    <x v="7"/>
    <x v="1"/>
    <d v="2021-09-06T00:00:00"/>
    <s v="Jose Cooley"/>
    <s v="Robbins Inc"/>
    <x v="2"/>
    <n v="6664.22"/>
    <n v="228"/>
    <x v="2"/>
    <d v="2021-09-17T00:00:00"/>
    <s v="Lipitor"/>
    <x v="2"/>
    <n v="11"/>
    <x v="2"/>
    <s v="Low"/>
    <n v="9"/>
    <x v="5"/>
    <s v="September"/>
  </r>
  <r>
    <s v="rYaN bUtLeR"/>
    <n v="20"/>
    <x v="0"/>
    <x v="5"/>
    <x v="2"/>
    <d v="2023-08-26T00:00:00"/>
    <s v="Andrew Clark"/>
    <s v="and Conway George, Huff"/>
    <x v="4"/>
    <n v="7235.19"/>
    <n v="197"/>
    <x v="0"/>
    <d v="2023-08-27T00:00:00"/>
    <s v="Penicillin"/>
    <x v="1"/>
    <n v="1"/>
    <x v="0"/>
    <s v="Low"/>
    <n v="8"/>
    <x v="4"/>
    <s v="August"/>
  </r>
  <r>
    <s v="SaMANTHa lOwERY"/>
    <n v="75"/>
    <x v="0"/>
    <x v="1"/>
    <x v="3"/>
    <d v="2019-11-27T00:00:00"/>
    <s v="Evelyn Patterson"/>
    <s v="Group Thompson"/>
    <x v="2"/>
    <n v="20336.490000000002"/>
    <n v="316"/>
    <x v="1"/>
    <d v="2019-12-07T00:00:00"/>
    <s v="Penicillin"/>
    <x v="0"/>
    <n v="10"/>
    <x v="2"/>
    <s v="Medium"/>
    <n v="11"/>
    <x v="1"/>
    <s v="November"/>
  </r>
  <r>
    <s v="TiFFAny LEe"/>
    <n v="32"/>
    <x v="1"/>
    <x v="1"/>
    <x v="1"/>
    <d v="2023-03-07T00:00:00"/>
    <s v="Maria Estes"/>
    <s v="Rodriguez-Arnold"/>
    <x v="3"/>
    <n v="38668.69"/>
    <n v="462"/>
    <x v="0"/>
    <d v="2023-03-12T00:00:00"/>
    <s v="Lipitor"/>
    <x v="0"/>
    <n v="5"/>
    <x v="0"/>
    <s v="High"/>
    <n v="3"/>
    <x v="4"/>
    <s v="March"/>
  </r>
  <r>
    <s v="SamaNthA WiLlIs"/>
    <n v="66"/>
    <x v="1"/>
    <x v="2"/>
    <x v="2"/>
    <d v="2022-10-03T00:00:00"/>
    <s v="Mrs. Linda Miles"/>
    <s v="and Sullivan, Mcclure Shields"/>
    <x v="2"/>
    <n v="41222.01"/>
    <n v="255"/>
    <x v="2"/>
    <d v="2022-10-14T00:00:00"/>
    <s v="Lipitor"/>
    <x v="2"/>
    <n v="11"/>
    <x v="1"/>
    <s v="High"/>
    <n v="10"/>
    <x v="2"/>
    <s v="October"/>
  </r>
  <r>
    <s v="pAmela BroWn"/>
    <n v="78"/>
    <x v="1"/>
    <x v="7"/>
    <x v="2"/>
    <d v="2023-01-10T00:00:00"/>
    <s v="Catherine Wiley"/>
    <s v="Charles LLC"/>
    <x v="1"/>
    <n v="38520.01"/>
    <n v="211"/>
    <x v="0"/>
    <d v="2023-01-30T00:00:00"/>
    <s v="Lipitor"/>
    <x v="2"/>
    <n v="20"/>
    <x v="2"/>
    <s v="High"/>
    <n v="1"/>
    <x v="4"/>
    <s v="January"/>
  </r>
  <r>
    <s v="cARLA walkER"/>
    <n v="49"/>
    <x v="0"/>
    <x v="7"/>
    <x v="0"/>
    <d v="2020-04-12T00:00:00"/>
    <s v="Olivia Nichols"/>
    <s v="Morgan-Young"/>
    <x v="4"/>
    <n v="44411.12"/>
    <n v="103"/>
    <x v="0"/>
    <d v="2020-05-04T00:00:00"/>
    <s v="Aspirin"/>
    <x v="0"/>
    <n v="22"/>
    <x v="3"/>
    <s v="High"/>
    <n v="4"/>
    <x v="3"/>
    <s v="April"/>
  </r>
  <r>
    <s v="MaRy GOnzaLeS"/>
    <n v="73"/>
    <x v="0"/>
    <x v="0"/>
    <x v="5"/>
    <d v="2020-11-20T00:00:00"/>
    <s v="Christie Vargas"/>
    <s v="Garcia and Nguyen, Leonard"/>
    <x v="2"/>
    <n v="26044.25"/>
    <n v="101"/>
    <x v="0"/>
    <d v="2020-12-15T00:00:00"/>
    <s v="Aspirin"/>
    <x v="1"/>
    <n v="25"/>
    <x v="2"/>
    <s v="Medium"/>
    <n v="11"/>
    <x v="3"/>
    <s v="November"/>
  </r>
  <r>
    <s v="SHEllEY FlEmInG"/>
    <n v="69"/>
    <x v="0"/>
    <x v="5"/>
    <x v="4"/>
    <d v="2024-04-26T00:00:00"/>
    <s v="Nathaniel Jacobson"/>
    <s v="PLC Fox"/>
    <x v="2"/>
    <n v="7902.42"/>
    <n v="419"/>
    <x v="1"/>
    <d v="2024-05-24T00:00:00"/>
    <s v="Ibuprofen"/>
    <x v="2"/>
    <n v="28"/>
    <x v="1"/>
    <s v="Low"/>
    <n v="4"/>
    <x v="0"/>
    <s v="April"/>
  </r>
  <r>
    <s v="MARK bLakE"/>
    <n v="51"/>
    <x v="1"/>
    <x v="1"/>
    <x v="4"/>
    <d v="2023-06-29T00:00:00"/>
    <s v="Kayla Clark"/>
    <s v="Bell Preston Washington, and"/>
    <x v="1"/>
    <n v="46245.58"/>
    <n v="455"/>
    <x v="0"/>
    <d v="2023-07-07T00:00:00"/>
    <s v="Paracetamol"/>
    <x v="2"/>
    <n v="8"/>
    <x v="3"/>
    <s v="High"/>
    <n v="6"/>
    <x v="4"/>
    <s v="June"/>
  </r>
  <r>
    <s v="SCoTT KIng"/>
    <n v="66"/>
    <x v="0"/>
    <x v="3"/>
    <x v="2"/>
    <d v="2020-01-11T00:00:00"/>
    <s v="Jessica Jackson"/>
    <s v="LLC Hernandez"/>
    <x v="2"/>
    <n v="40448.97"/>
    <n v="497"/>
    <x v="1"/>
    <d v="2020-02-07T00:00:00"/>
    <s v="Paracetamol"/>
    <x v="2"/>
    <n v="27"/>
    <x v="1"/>
    <s v="High"/>
    <n v="1"/>
    <x v="3"/>
    <s v="January"/>
  </r>
  <r>
    <s v="JesSicA dAvis"/>
    <n v="38"/>
    <x v="1"/>
    <x v="7"/>
    <x v="5"/>
    <d v="2022-06-05T00:00:00"/>
    <s v="Lynn Benson"/>
    <s v="Steele PLC"/>
    <x v="1"/>
    <n v="20914.95"/>
    <n v="276"/>
    <x v="2"/>
    <d v="2022-06-15T00:00:00"/>
    <s v="Paracetamol"/>
    <x v="0"/>
    <n v="10"/>
    <x v="3"/>
    <s v="Medium"/>
    <n v="6"/>
    <x v="2"/>
    <s v="June"/>
  </r>
  <r>
    <s v="anthOnY odom"/>
    <n v="33"/>
    <x v="0"/>
    <x v="3"/>
    <x v="3"/>
    <d v="2024-01-28T00:00:00"/>
    <s v="Michael Dodson MD"/>
    <s v="and Sims, Gonzalez Huff"/>
    <x v="1"/>
    <n v="46682.45"/>
    <n v="385"/>
    <x v="2"/>
    <d v="2024-02-22T00:00:00"/>
    <s v="Paracetamol"/>
    <x v="1"/>
    <n v="25"/>
    <x v="0"/>
    <s v="High"/>
    <n v="1"/>
    <x v="0"/>
    <s v="January"/>
  </r>
  <r>
    <s v="charleS bRoWN"/>
    <n v="27"/>
    <x v="0"/>
    <x v="0"/>
    <x v="0"/>
    <d v="2021-11-06T00:00:00"/>
    <s v="David Nunez"/>
    <s v="Allen-Perez"/>
    <x v="3"/>
    <n v="10965.7"/>
    <n v="298"/>
    <x v="2"/>
    <d v="2021-11-07T00:00:00"/>
    <s v="Penicillin"/>
    <x v="0"/>
    <n v="1"/>
    <x v="0"/>
    <s v="Medium"/>
    <n v="11"/>
    <x v="5"/>
    <s v="November"/>
  </r>
  <r>
    <s v="raChel DaVIS"/>
    <n v="36"/>
    <x v="0"/>
    <x v="0"/>
    <x v="0"/>
    <d v="2021-07-21T00:00:00"/>
    <s v="Lindsay Pierce"/>
    <s v="and Alexander Crawford Graham,"/>
    <x v="2"/>
    <n v="27507.040000000001"/>
    <n v="286"/>
    <x v="1"/>
    <d v="2021-07-31T00:00:00"/>
    <s v="Ibuprofen"/>
    <x v="0"/>
    <n v="10"/>
    <x v="3"/>
    <s v="Medium"/>
    <n v="7"/>
    <x v="5"/>
    <s v="July"/>
  </r>
  <r>
    <s v="SAndRa mccALl"/>
    <n v="41"/>
    <x v="0"/>
    <x v="2"/>
    <x v="0"/>
    <d v="2019-11-23T00:00:00"/>
    <s v="Dr. Jeffrey Barnes Jr."/>
    <s v="Moyer-Lamb"/>
    <x v="3"/>
    <n v="12678.1"/>
    <n v="141"/>
    <x v="0"/>
    <d v="2019-12-06T00:00:00"/>
    <s v="Penicillin"/>
    <x v="0"/>
    <n v="13"/>
    <x v="3"/>
    <s v="Medium"/>
    <n v="11"/>
    <x v="1"/>
    <s v="November"/>
  </r>
  <r>
    <s v="NiCole FraNCIS"/>
    <n v="33"/>
    <x v="0"/>
    <x v="5"/>
    <x v="3"/>
    <d v="2019-05-30T00:00:00"/>
    <s v="Kristie Roberts"/>
    <s v="Taylor-Wilson"/>
    <x v="2"/>
    <n v="38395.53"/>
    <n v="215"/>
    <x v="1"/>
    <d v="2019-06-29T00:00:00"/>
    <s v="Ibuprofen"/>
    <x v="1"/>
    <n v="30"/>
    <x v="0"/>
    <s v="High"/>
    <n v="5"/>
    <x v="1"/>
    <s v="May"/>
  </r>
  <r>
    <s v="STEVEN SmitH"/>
    <n v="56"/>
    <x v="1"/>
    <x v="5"/>
    <x v="3"/>
    <d v="2024-03-23T00:00:00"/>
    <s v="Allison Harper"/>
    <s v="PLC Sutton"/>
    <x v="1"/>
    <n v="28510.81"/>
    <n v="185"/>
    <x v="1"/>
    <d v="2024-04-14T00:00:00"/>
    <s v="Lipitor"/>
    <x v="1"/>
    <n v="22"/>
    <x v="1"/>
    <s v="Medium"/>
    <n v="3"/>
    <x v="0"/>
    <s v="March"/>
  </r>
  <r>
    <s v="KAREn johnsoN"/>
    <n v="25"/>
    <x v="0"/>
    <x v="3"/>
    <x v="1"/>
    <d v="2019-06-23T00:00:00"/>
    <s v="Heather Howard"/>
    <s v="and Sons Sanders"/>
    <x v="1"/>
    <n v="43400.67"/>
    <n v="300"/>
    <x v="1"/>
    <d v="2019-07-12T00:00:00"/>
    <s v="Aspirin"/>
    <x v="2"/>
    <n v="19"/>
    <x v="0"/>
    <s v="High"/>
    <n v="6"/>
    <x v="1"/>
    <s v="June"/>
  </r>
  <r>
    <s v="anna ROgERs"/>
    <n v="21"/>
    <x v="1"/>
    <x v="7"/>
    <x v="3"/>
    <d v="2022-01-30T00:00:00"/>
    <s v="Vickie King"/>
    <s v="Gentry and Sons"/>
    <x v="2"/>
    <n v="46890.43"/>
    <n v="307"/>
    <x v="2"/>
    <d v="2022-02-26T00:00:00"/>
    <s v="Aspirin"/>
    <x v="2"/>
    <n v="27"/>
    <x v="0"/>
    <s v="High"/>
    <n v="1"/>
    <x v="2"/>
    <s v="January"/>
  </r>
  <r>
    <s v="pRiSCiLlA dEckEr"/>
    <n v="57"/>
    <x v="0"/>
    <x v="0"/>
    <x v="0"/>
    <d v="2022-11-12T00:00:00"/>
    <s v="Christopher Yoder"/>
    <s v="Haynes-Silva"/>
    <x v="4"/>
    <n v="48491.64"/>
    <n v="129"/>
    <x v="2"/>
    <d v="2022-11-22T00:00:00"/>
    <s v="Penicillin"/>
    <x v="0"/>
    <n v="10"/>
    <x v="1"/>
    <s v="High"/>
    <n v="11"/>
    <x v="2"/>
    <s v="November"/>
  </r>
  <r>
    <s v="tREVor WRiGHt"/>
    <n v="39"/>
    <x v="1"/>
    <x v="3"/>
    <x v="0"/>
    <d v="2020-12-22T00:00:00"/>
    <s v="Matthew Nelson"/>
    <s v="Marshall, and Koch Harper"/>
    <x v="0"/>
    <n v="13643.73"/>
    <n v="380"/>
    <x v="2"/>
    <d v="2020-12-27T00:00:00"/>
    <s v="Lipitor"/>
    <x v="0"/>
    <n v="5"/>
    <x v="3"/>
    <s v="Medium"/>
    <n v="12"/>
    <x v="3"/>
    <s v="December"/>
  </r>
  <r>
    <s v="WiLlIAm tuCKEr"/>
    <n v="51"/>
    <x v="1"/>
    <x v="2"/>
    <x v="2"/>
    <d v="2022-05-22T00:00:00"/>
    <s v="Martin Lynch"/>
    <s v="Duffy-Jackson"/>
    <x v="4"/>
    <n v="5415.28"/>
    <n v="209"/>
    <x v="1"/>
    <d v="2022-06-08T00:00:00"/>
    <s v="Aspirin"/>
    <x v="1"/>
    <n v="17"/>
    <x v="3"/>
    <s v="Low"/>
    <n v="5"/>
    <x v="2"/>
    <s v="May"/>
  </r>
  <r>
    <s v="JEsSIca KElLer"/>
    <n v="31"/>
    <x v="0"/>
    <x v="6"/>
    <x v="4"/>
    <d v="2021-03-27T00:00:00"/>
    <s v="David Hall"/>
    <s v="Brown-Diaz"/>
    <x v="2"/>
    <n v="44008.05"/>
    <n v="392"/>
    <x v="2"/>
    <d v="2021-04-23T00:00:00"/>
    <s v="Lipitor"/>
    <x v="2"/>
    <n v="27"/>
    <x v="0"/>
    <s v="High"/>
    <n v="3"/>
    <x v="5"/>
    <s v="March"/>
  </r>
  <r>
    <s v="WILliAM hEnRY"/>
    <n v="85"/>
    <x v="0"/>
    <x v="5"/>
    <x v="3"/>
    <d v="2022-06-22T00:00:00"/>
    <s v="Benjamin Tyler"/>
    <s v="Mcdaniel-Castaneda"/>
    <x v="3"/>
    <n v="43866.66"/>
    <n v="420"/>
    <x v="0"/>
    <d v="2022-07-22T00:00:00"/>
    <s v="Aspirin"/>
    <x v="0"/>
    <n v="30"/>
    <x v="2"/>
    <s v="High"/>
    <n v="6"/>
    <x v="2"/>
    <s v="June"/>
  </r>
  <r>
    <s v="RobiN Clarke"/>
    <n v="76"/>
    <x v="0"/>
    <x v="3"/>
    <x v="2"/>
    <d v="2022-07-15T00:00:00"/>
    <s v="Tyler Adams DDS"/>
    <s v="Lyons LLC"/>
    <x v="0"/>
    <n v="45242.86"/>
    <n v="174"/>
    <x v="1"/>
    <d v="2022-07-19T00:00:00"/>
    <s v="Penicillin"/>
    <x v="2"/>
    <n v="4"/>
    <x v="2"/>
    <s v="High"/>
    <n v="7"/>
    <x v="2"/>
    <s v="July"/>
  </r>
  <r>
    <s v="jessIca gARZa"/>
    <n v="59"/>
    <x v="0"/>
    <x v="1"/>
    <x v="3"/>
    <d v="2022-06-06T00:00:00"/>
    <s v="William White"/>
    <s v="PLC French"/>
    <x v="2"/>
    <n v="13550.12"/>
    <n v="250"/>
    <x v="2"/>
    <d v="2022-06-30T00:00:00"/>
    <s v="Paracetamol"/>
    <x v="0"/>
    <n v="24"/>
    <x v="1"/>
    <s v="Medium"/>
    <n v="6"/>
    <x v="2"/>
    <s v="June"/>
  </r>
  <r>
    <s v="JAmIe salaZAR"/>
    <n v="64"/>
    <x v="0"/>
    <x v="7"/>
    <x v="2"/>
    <d v="2020-12-29T00:00:00"/>
    <s v="Amanda Webb"/>
    <s v="LLC Coleman"/>
    <x v="0"/>
    <n v="34963.64"/>
    <n v="277"/>
    <x v="0"/>
    <d v="2021-01-07T00:00:00"/>
    <s v="Aspirin"/>
    <x v="1"/>
    <n v="9"/>
    <x v="1"/>
    <s v="High"/>
    <n v="12"/>
    <x v="3"/>
    <s v="December"/>
  </r>
  <r>
    <s v="stevEN VAugHaN"/>
    <n v="28"/>
    <x v="0"/>
    <x v="1"/>
    <x v="5"/>
    <d v="2020-05-23T00:00:00"/>
    <s v="Travis Holmes"/>
    <s v="Tucker-Warren"/>
    <x v="3"/>
    <n v="48890.45"/>
    <n v="324"/>
    <x v="2"/>
    <d v="2020-06-12T00:00:00"/>
    <s v="Penicillin"/>
    <x v="2"/>
    <n v="20"/>
    <x v="0"/>
    <s v="High"/>
    <n v="5"/>
    <x v="3"/>
    <s v="May"/>
  </r>
  <r>
    <s v="MIChAeL contreraS"/>
    <n v="63"/>
    <x v="0"/>
    <x v="2"/>
    <x v="1"/>
    <d v="2022-07-25T00:00:00"/>
    <s v="Amy Small"/>
    <s v="Wang-Hill"/>
    <x v="1"/>
    <n v="17159.580000000002"/>
    <n v="330"/>
    <x v="1"/>
    <d v="2022-08-22T00:00:00"/>
    <s v="Ibuprofen"/>
    <x v="0"/>
    <n v="28"/>
    <x v="1"/>
    <s v="Medium"/>
    <n v="7"/>
    <x v="2"/>
    <s v="July"/>
  </r>
  <r>
    <s v="AllEn roBeRTs"/>
    <n v="24"/>
    <x v="0"/>
    <x v="2"/>
    <x v="5"/>
    <d v="2021-04-01T00:00:00"/>
    <s v="Katherine Gutierrez"/>
    <s v="Jones Ltd"/>
    <x v="4"/>
    <n v="7192.63"/>
    <n v="443"/>
    <x v="1"/>
    <d v="2021-04-19T00:00:00"/>
    <s v="Penicillin"/>
    <x v="2"/>
    <n v="18"/>
    <x v="0"/>
    <s v="Low"/>
    <n v="4"/>
    <x v="5"/>
    <s v="April"/>
  </r>
  <r>
    <s v="aMy POwEll"/>
    <n v="81"/>
    <x v="0"/>
    <x v="6"/>
    <x v="5"/>
    <d v="2020-07-20T00:00:00"/>
    <s v="Susan Hess"/>
    <s v="White West Herman, and"/>
    <x v="1"/>
    <n v="44982.85"/>
    <n v="121"/>
    <x v="2"/>
    <d v="2020-07-29T00:00:00"/>
    <s v="Lipitor"/>
    <x v="0"/>
    <n v="9"/>
    <x v="2"/>
    <s v="High"/>
    <n v="7"/>
    <x v="3"/>
    <s v="July"/>
  </r>
  <r>
    <s v="KeNNeth sMitH"/>
    <n v="74"/>
    <x v="0"/>
    <x v="1"/>
    <x v="2"/>
    <d v="2020-02-28T00:00:00"/>
    <s v="Kristen Thornton"/>
    <s v="Inc Newton"/>
    <x v="1"/>
    <n v="16004.47"/>
    <n v="254"/>
    <x v="1"/>
    <d v="2020-03-28T00:00:00"/>
    <s v="Ibuprofen"/>
    <x v="1"/>
    <n v="29"/>
    <x v="2"/>
    <s v="Medium"/>
    <n v="2"/>
    <x v="3"/>
    <s v="February"/>
  </r>
  <r>
    <s v="maTThEW WEsT"/>
    <n v="28"/>
    <x v="0"/>
    <x v="4"/>
    <x v="0"/>
    <d v="2023-08-30T00:00:00"/>
    <s v="Jerry Fisher"/>
    <s v="Huerta-Sanchez"/>
    <x v="3"/>
    <n v="7320.04"/>
    <n v="458"/>
    <x v="2"/>
    <d v="2023-09-17T00:00:00"/>
    <s v="Ibuprofen"/>
    <x v="0"/>
    <n v="18"/>
    <x v="0"/>
    <s v="Low"/>
    <n v="8"/>
    <x v="4"/>
    <s v="August"/>
  </r>
  <r>
    <s v="ERIK MOntoyA"/>
    <n v="27"/>
    <x v="0"/>
    <x v="5"/>
    <x v="1"/>
    <d v="2020-07-27T00:00:00"/>
    <s v="Elizabeth Miller"/>
    <s v="Snyder-Parrish"/>
    <x v="0"/>
    <n v="28329.82"/>
    <n v="470"/>
    <x v="1"/>
    <d v="2020-08-24T00:00:00"/>
    <s v="Aspirin"/>
    <x v="0"/>
    <n v="28"/>
    <x v="0"/>
    <s v="Medium"/>
    <n v="7"/>
    <x v="3"/>
    <s v="July"/>
  </r>
  <r>
    <s v="aUSTin lEwis"/>
    <n v="24"/>
    <x v="0"/>
    <x v="5"/>
    <x v="2"/>
    <d v="2021-03-28T00:00:00"/>
    <s v="Reginald Grimes"/>
    <s v="Inc Bryant"/>
    <x v="3"/>
    <n v="24130.52"/>
    <n v="214"/>
    <x v="0"/>
    <d v="2021-04-05T00:00:00"/>
    <s v="Paracetamol"/>
    <x v="1"/>
    <n v="8"/>
    <x v="0"/>
    <s v="Medium"/>
    <n v="3"/>
    <x v="5"/>
    <s v="March"/>
  </r>
  <r>
    <s v="KennEtH ThOmPSon"/>
    <n v="63"/>
    <x v="0"/>
    <x v="2"/>
    <x v="2"/>
    <d v="2022-05-08T00:00:00"/>
    <s v="Steven Smith"/>
    <s v="Williams Inc"/>
    <x v="4"/>
    <n v="22361.15"/>
    <n v="445"/>
    <x v="1"/>
    <d v="2022-05-10T00:00:00"/>
    <s v="Paracetamol"/>
    <x v="0"/>
    <n v="2"/>
    <x v="1"/>
    <s v="Medium"/>
    <n v="5"/>
    <x v="2"/>
    <s v="May"/>
  </r>
  <r>
    <s v="AMANDa DURhAm"/>
    <n v="46"/>
    <x v="1"/>
    <x v="3"/>
    <x v="1"/>
    <d v="2021-06-16T00:00:00"/>
    <s v="Katelyn Davis"/>
    <s v="Smith White, and Ryan"/>
    <x v="0"/>
    <n v="19650"/>
    <n v="108"/>
    <x v="1"/>
    <d v="2021-07-06T00:00:00"/>
    <s v="Lipitor"/>
    <x v="1"/>
    <n v="20"/>
    <x v="3"/>
    <s v="Medium"/>
    <n v="6"/>
    <x v="5"/>
    <s v="June"/>
  </r>
  <r>
    <s v="stEphen HUdSON"/>
    <n v="35"/>
    <x v="1"/>
    <x v="4"/>
    <x v="5"/>
    <d v="2023-10-31T00:00:00"/>
    <s v="Matthew Jones"/>
    <s v="Williams Dillon White, and"/>
    <x v="2"/>
    <n v="30986.93"/>
    <n v="346"/>
    <x v="0"/>
    <d v="2023-11-21T00:00:00"/>
    <s v="Paracetamol"/>
    <x v="2"/>
    <n v="21"/>
    <x v="0"/>
    <s v="High"/>
    <n v="10"/>
    <x v="4"/>
    <s v="October"/>
  </r>
  <r>
    <s v="CASsanDRA VeLaZquEZ"/>
    <n v="28"/>
    <x v="1"/>
    <x v="6"/>
    <x v="2"/>
    <d v="2022-04-23T00:00:00"/>
    <s v="Diana Tran"/>
    <s v="Vargas-Cohen"/>
    <x v="3"/>
    <n v="45987.16"/>
    <n v="293"/>
    <x v="2"/>
    <d v="2022-05-11T00:00:00"/>
    <s v="Penicillin"/>
    <x v="0"/>
    <n v="18"/>
    <x v="0"/>
    <s v="High"/>
    <n v="4"/>
    <x v="2"/>
    <s v="April"/>
  </r>
  <r>
    <s v="suSAN peNA"/>
    <n v="80"/>
    <x v="1"/>
    <x v="6"/>
    <x v="1"/>
    <d v="2021-12-09T00:00:00"/>
    <s v="Kevin Kelley"/>
    <s v="Gardner Group"/>
    <x v="1"/>
    <n v="11086.73"/>
    <n v="482"/>
    <x v="0"/>
    <d v="2021-12-12T00:00:00"/>
    <s v="Lipitor"/>
    <x v="1"/>
    <n v="3"/>
    <x v="2"/>
    <s v="Medium"/>
    <n v="12"/>
    <x v="5"/>
    <s v="December"/>
  </r>
  <r>
    <s v="anTHoNY PerKinS"/>
    <n v="31"/>
    <x v="0"/>
    <x v="7"/>
    <x v="1"/>
    <d v="2024-01-10T00:00:00"/>
    <s v="Anthony Green"/>
    <s v="Garcia-Blake"/>
    <x v="1"/>
    <n v="28483.88"/>
    <n v="265"/>
    <x v="0"/>
    <d v="2024-02-02T00:00:00"/>
    <s v="Lipitor"/>
    <x v="2"/>
    <n v="23"/>
    <x v="0"/>
    <s v="Medium"/>
    <n v="1"/>
    <x v="0"/>
    <s v="January"/>
  </r>
  <r>
    <s v="KATRIna LOPEz"/>
    <n v="69"/>
    <x v="1"/>
    <x v="3"/>
    <x v="2"/>
    <d v="2019-11-17T00:00:00"/>
    <s v="Jordan Porter"/>
    <s v="Castaneda-Tran"/>
    <x v="4"/>
    <n v="37905.96"/>
    <n v="368"/>
    <x v="1"/>
    <d v="2019-12-15T00:00:00"/>
    <s v="Lipitor"/>
    <x v="1"/>
    <n v="28"/>
    <x v="1"/>
    <s v="High"/>
    <n v="11"/>
    <x v="1"/>
    <s v="November"/>
  </r>
  <r>
    <s v="bRiAn FoSTER"/>
    <n v="82"/>
    <x v="0"/>
    <x v="4"/>
    <x v="3"/>
    <d v="2022-01-05T00:00:00"/>
    <s v="James Thompson"/>
    <s v="Kim-Ibarra"/>
    <x v="1"/>
    <n v="27878.85"/>
    <n v="472"/>
    <x v="2"/>
    <d v="2022-01-11T00:00:00"/>
    <s v="Ibuprofen"/>
    <x v="0"/>
    <n v="6"/>
    <x v="2"/>
    <s v="Medium"/>
    <n v="1"/>
    <x v="2"/>
    <s v="January"/>
  </r>
  <r>
    <s v="JaSon ThOMPson"/>
    <n v="64"/>
    <x v="1"/>
    <x v="6"/>
    <x v="5"/>
    <d v="2024-01-15T00:00:00"/>
    <s v="Andrea King"/>
    <s v="Boyer-Burgess"/>
    <x v="2"/>
    <n v="13900.05"/>
    <n v="442"/>
    <x v="0"/>
    <d v="2024-02-10T00:00:00"/>
    <s v="Ibuprofen"/>
    <x v="1"/>
    <n v="26"/>
    <x v="1"/>
    <s v="Medium"/>
    <n v="1"/>
    <x v="0"/>
    <s v="January"/>
  </r>
  <r>
    <s v="david AYaLa"/>
    <n v="77"/>
    <x v="1"/>
    <x v="3"/>
    <x v="5"/>
    <d v="2022-11-17T00:00:00"/>
    <s v="Lucas Torres"/>
    <s v="Cross Ltd"/>
    <x v="2"/>
    <n v="30575.759999999998"/>
    <n v="116"/>
    <x v="0"/>
    <d v="2022-12-15T00:00:00"/>
    <s v="Paracetamol"/>
    <x v="2"/>
    <n v="28"/>
    <x v="2"/>
    <s v="High"/>
    <n v="11"/>
    <x v="2"/>
    <s v="November"/>
  </r>
  <r>
    <s v="jaReD YoDER"/>
    <n v="32"/>
    <x v="0"/>
    <x v="3"/>
    <x v="1"/>
    <d v="2021-08-02T00:00:00"/>
    <s v="Sarah Garcia"/>
    <s v="Patel Payne, and Young"/>
    <x v="1"/>
    <n v="11941.63"/>
    <n v="478"/>
    <x v="0"/>
    <d v="2021-08-26T00:00:00"/>
    <s v="Lipitor"/>
    <x v="0"/>
    <n v="24"/>
    <x v="0"/>
    <s v="Medium"/>
    <n v="8"/>
    <x v="5"/>
    <s v="August"/>
  </r>
  <r>
    <s v="gRegoRY cANnON"/>
    <n v="70"/>
    <x v="1"/>
    <x v="1"/>
    <x v="2"/>
    <d v="2020-04-20T00:00:00"/>
    <s v="Amanda Alvarado"/>
    <s v="Group Santana"/>
    <x v="1"/>
    <n v="7422.73"/>
    <n v="496"/>
    <x v="2"/>
    <d v="2020-04-23T00:00:00"/>
    <s v="Lipitor"/>
    <x v="2"/>
    <n v="3"/>
    <x v="1"/>
    <s v="Low"/>
    <n v="4"/>
    <x v="3"/>
    <s v="April"/>
  </r>
  <r>
    <s v="LISa aNdERSON"/>
    <n v="50"/>
    <x v="1"/>
    <x v="7"/>
    <x v="4"/>
    <d v="2023-06-28T00:00:00"/>
    <s v="Samantha Preston"/>
    <s v="Sons and Cook"/>
    <x v="1"/>
    <n v="34005.550000000003"/>
    <n v="368"/>
    <x v="0"/>
    <d v="2023-06-30T00:00:00"/>
    <s v="Ibuprofen"/>
    <x v="1"/>
    <n v="2"/>
    <x v="3"/>
    <s v="High"/>
    <n v="6"/>
    <x v="4"/>
    <s v="June"/>
  </r>
  <r>
    <s v="ELIzabEtH ShIelDs"/>
    <n v="29"/>
    <x v="0"/>
    <x v="3"/>
    <x v="3"/>
    <d v="2022-04-06T00:00:00"/>
    <s v="David Maxwell"/>
    <s v="Martin-Rice"/>
    <x v="3"/>
    <n v="48574.83"/>
    <n v="448"/>
    <x v="2"/>
    <d v="2022-04-30T00:00:00"/>
    <s v="Penicillin"/>
    <x v="1"/>
    <n v="24"/>
    <x v="0"/>
    <s v="High"/>
    <n v="4"/>
    <x v="2"/>
    <s v="April"/>
  </r>
  <r>
    <s v="PatriCiA kIM"/>
    <n v="66"/>
    <x v="1"/>
    <x v="4"/>
    <x v="0"/>
    <d v="2021-03-31T00:00:00"/>
    <s v="Kevin Butler"/>
    <s v="Ortiz, and Rios Price"/>
    <x v="4"/>
    <n v="45010.8"/>
    <n v="302"/>
    <x v="0"/>
    <d v="2021-04-16T00:00:00"/>
    <s v="Lipitor"/>
    <x v="2"/>
    <n v="16"/>
    <x v="1"/>
    <s v="High"/>
    <n v="3"/>
    <x v="5"/>
    <s v="March"/>
  </r>
  <r>
    <s v="JessiCA sOto"/>
    <n v="70"/>
    <x v="0"/>
    <x v="4"/>
    <x v="1"/>
    <d v="2020-03-07T00:00:00"/>
    <s v="Shannon Sanchez"/>
    <s v="Barnes-Williams"/>
    <x v="3"/>
    <n v="7409.34"/>
    <n v="418"/>
    <x v="2"/>
    <d v="2020-03-29T00:00:00"/>
    <s v="Aspirin"/>
    <x v="0"/>
    <n v="22"/>
    <x v="1"/>
    <s v="Low"/>
    <n v="3"/>
    <x v="3"/>
    <s v="March"/>
  </r>
  <r>
    <s v="JEnNY ReYnOLDS"/>
    <n v="56"/>
    <x v="1"/>
    <x v="0"/>
    <x v="0"/>
    <d v="2020-06-03T00:00:00"/>
    <s v="Shelly Bright"/>
    <s v="Hardy-Gutierrez"/>
    <x v="4"/>
    <n v="34968.080000000002"/>
    <n v="280"/>
    <x v="0"/>
    <d v="2020-06-21T00:00:00"/>
    <s v="Paracetamol"/>
    <x v="2"/>
    <n v="18"/>
    <x v="1"/>
    <s v="High"/>
    <n v="6"/>
    <x v="3"/>
    <s v="June"/>
  </r>
  <r>
    <s v="SHANnon baRRett"/>
    <n v="85"/>
    <x v="0"/>
    <x v="0"/>
    <x v="3"/>
    <d v="2021-08-31T00:00:00"/>
    <s v="Stephanie Wilcox"/>
    <s v="Cole LLC"/>
    <x v="2"/>
    <n v="5648.18"/>
    <n v="113"/>
    <x v="2"/>
    <d v="2021-09-17T00:00:00"/>
    <s v="Aspirin"/>
    <x v="1"/>
    <n v="17"/>
    <x v="2"/>
    <s v="Low"/>
    <n v="8"/>
    <x v="5"/>
    <s v="August"/>
  </r>
  <r>
    <s v="tERrI PERry"/>
    <n v="67"/>
    <x v="0"/>
    <x v="4"/>
    <x v="0"/>
    <d v="2022-09-22T00:00:00"/>
    <s v="Amy Diaz"/>
    <s v="White-Rowe"/>
    <x v="3"/>
    <n v="14227.32"/>
    <n v="484"/>
    <x v="2"/>
    <d v="2022-10-11T00:00:00"/>
    <s v="Paracetamol"/>
    <x v="0"/>
    <n v="19"/>
    <x v="1"/>
    <s v="Medium"/>
    <n v="9"/>
    <x v="2"/>
    <s v="September"/>
  </r>
  <r>
    <s v="Joseph MaddEN"/>
    <n v="50"/>
    <x v="1"/>
    <x v="6"/>
    <x v="5"/>
    <d v="2022-07-02T00:00:00"/>
    <s v="Stacey Nguyen"/>
    <s v="Rodriguez Harris, Willis and"/>
    <x v="1"/>
    <n v="47551.57"/>
    <n v="179"/>
    <x v="2"/>
    <d v="2022-07-15T00:00:00"/>
    <s v="Ibuprofen"/>
    <x v="1"/>
    <n v="13"/>
    <x v="3"/>
    <s v="High"/>
    <n v="7"/>
    <x v="2"/>
    <s v="July"/>
  </r>
  <r>
    <s v="RebECCa hOGAN"/>
    <n v="52"/>
    <x v="1"/>
    <x v="3"/>
    <x v="3"/>
    <d v="2019-06-18T00:00:00"/>
    <s v="Peter Wright"/>
    <s v="Santana Garcia, Alexander and"/>
    <x v="2"/>
    <n v="42301.91"/>
    <n v="132"/>
    <x v="2"/>
    <d v="2019-07-08T00:00:00"/>
    <s v="Aspirin"/>
    <x v="2"/>
    <n v="20"/>
    <x v="3"/>
    <s v="High"/>
    <n v="6"/>
    <x v="1"/>
    <s v="June"/>
  </r>
  <r>
    <s v="kELly WAlKER"/>
    <n v="84"/>
    <x v="0"/>
    <x v="0"/>
    <x v="4"/>
    <d v="2019-07-19T00:00:00"/>
    <s v="Eric Shaw"/>
    <s v="Collins-Lozano"/>
    <x v="2"/>
    <n v="2275.64"/>
    <n v="335"/>
    <x v="0"/>
    <d v="2019-08-08T00:00:00"/>
    <s v="Aspirin"/>
    <x v="0"/>
    <n v="20"/>
    <x v="2"/>
    <s v="Low"/>
    <n v="7"/>
    <x v="1"/>
    <s v="July"/>
  </r>
  <r>
    <s v="jUlIa muEllER"/>
    <n v="70"/>
    <x v="0"/>
    <x v="2"/>
    <x v="0"/>
    <d v="2022-01-06T00:00:00"/>
    <s v="Susan Gaines"/>
    <s v="Brown-Clark"/>
    <x v="4"/>
    <n v="10003.67"/>
    <n v="169"/>
    <x v="2"/>
    <d v="2022-01-27T00:00:00"/>
    <s v="Paracetamol"/>
    <x v="0"/>
    <n v="21"/>
    <x v="1"/>
    <s v="Medium"/>
    <n v="1"/>
    <x v="2"/>
    <s v="January"/>
  </r>
  <r>
    <s v="KAyLa mOORe"/>
    <n v="66"/>
    <x v="0"/>
    <x v="5"/>
    <x v="2"/>
    <d v="2022-02-08T00:00:00"/>
    <s v="Collin Green"/>
    <s v="Mcmahon and Kim, Holmes"/>
    <x v="2"/>
    <n v="42653.77"/>
    <n v="263"/>
    <x v="0"/>
    <d v="2022-02-28T00:00:00"/>
    <s v="Lipitor"/>
    <x v="0"/>
    <n v="20"/>
    <x v="1"/>
    <s v="High"/>
    <n v="2"/>
    <x v="2"/>
    <s v="February"/>
  </r>
  <r>
    <s v="KAITLyn SmItH"/>
    <n v="74"/>
    <x v="0"/>
    <x v="5"/>
    <x v="4"/>
    <d v="2022-12-09T00:00:00"/>
    <s v="Richard Harris"/>
    <s v="Gomez-Smith"/>
    <x v="4"/>
    <n v="10722.5"/>
    <n v="206"/>
    <x v="2"/>
    <d v="2022-12-28T00:00:00"/>
    <s v="Penicillin"/>
    <x v="1"/>
    <n v="19"/>
    <x v="2"/>
    <s v="Medium"/>
    <n v="12"/>
    <x v="2"/>
    <s v="December"/>
  </r>
  <r>
    <s v="DAnIEL KemP"/>
    <n v="75"/>
    <x v="1"/>
    <x v="3"/>
    <x v="1"/>
    <d v="2020-06-14T00:00:00"/>
    <s v="Charles Fernandez"/>
    <s v="Hall Lee Bailey, and"/>
    <x v="0"/>
    <n v="47516.52"/>
    <n v="356"/>
    <x v="0"/>
    <d v="2020-06-20T00:00:00"/>
    <s v="Lipitor"/>
    <x v="0"/>
    <n v="6"/>
    <x v="2"/>
    <s v="High"/>
    <n v="6"/>
    <x v="3"/>
    <s v="June"/>
  </r>
  <r>
    <s v="laurA mYeRs"/>
    <n v="61"/>
    <x v="0"/>
    <x v="6"/>
    <x v="1"/>
    <d v="2021-03-12T00:00:00"/>
    <s v="Kyle Williams MD"/>
    <s v="Brennan Bentley, and Hunter"/>
    <x v="4"/>
    <n v="41379.379999999997"/>
    <n v="354"/>
    <x v="0"/>
    <d v="2021-03-25T00:00:00"/>
    <s v="Lipitor"/>
    <x v="1"/>
    <n v="13"/>
    <x v="1"/>
    <s v="High"/>
    <n v="3"/>
    <x v="5"/>
    <s v="March"/>
  </r>
  <r>
    <s v="Carol ReEd"/>
    <n v="82"/>
    <x v="0"/>
    <x v="4"/>
    <x v="3"/>
    <d v="2022-12-27T00:00:00"/>
    <s v="Susan Rios DDS"/>
    <s v="Mullins, Gray and Reed"/>
    <x v="3"/>
    <n v="27481.33"/>
    <n v="411"/>
    <x v="2"/>
    <d v="2023-01-12T00:00:00"/>
    <s v="Paracetamol"/>
    <x v="2"/>
    <n v="16"/>
    <x v="2"/>
    <s v="Medium"/>
    <n v="12"/>
    <x v="2"/>
    <s v="December"/>
  </r>
  <r>
    <s v="JesSIcA caRtER"/>
    <n v="51"/>
    <x v="1"/>
    <x v="2"/>
    <x v="1"/>
    <d v="2019-12-08T00:00:00"/>
    <s v="Sarah Ibarra"/>
    <s v="Anderson Group"/>
    <x v="4"/>
    <n v="32006.03"/>
    <n v="200"/>
    <x v="0"/>
    <d v="2020-01-05T00:00:00"/>
    <s v="Penicillin"/>
    <x v="0"/>
    <n v="28"/>
    <x v="3"/>
    <s v="High"/>
    <n v="12"/>
    <x v="1"/>
    <s v="December"/>
  </r>
  <r>
    <s v="vANeSsa ScHaEFeR"/>
    <n v="37"/>
    <x v="1"/>
    <x v="2"/>
    <x v="5"/>
    <d v="2023-06-19T00:00:00"/>
    <s v="Jonathan Burns MD"/>
    <s v="Walsh, Howell and Jennings"/>
    <x v="3"/>
    <n v="14405.94"/>
    <n v="312"/>
    <x v="2"/>
    <d v="2023-07-14T00:00:00"/>
    <s v="Lipitor"/>
    <x v="1"/>
    <n v="25"/>
    <x v="3"/>
    <s v="Medium"/>
    <n v="6"/>
    <x v="4"/>
    <s v="June"/>
  </r>
  <r>
    <s v="MIgUeL GOmeZ"/>
    <n v="51"/>
    <x v="0"/>
    <x v="6"/>
    <x v="4"/>
    <d v="2019-05-10T00:00:00"/>
    <s v="Jennifer Miller"/>
    <s v="Haney-Marshall"/>
    <x v="3"/>
    <n v="24691.25"/>
    <n v="484"/>
    <x v="0"/>
    <d v="2019-06-07T00:00:00"/>
    <s v="Penicillin"/>
    <x v="0"/>
    <n v="28"/>
    <x v="3"/>
    <s v="Medium"/>
    <n v="5"/>
    <x v="1"/>
    <s v="May"/>
  </r>
  <r>
    <s v="linDa cARdeNas"/>
    <n v="23"/>
    <x v="0"/>
    <x v="2"/>
    <x v="3"/>
    <d v="2021-06-11T00:00:00"/>
    <s v="Zachary Scott"/>
    <s v="Rich and Roach, King"/>
    <x v="0"/>
    <n v="47491.39"/>
    <n v="305"/>
    <x v="2"/>
    <d v="2021-06-27T00:00:00"/>
    <s v="Ibuprofen"/>
    <x v="2"/>
    <n v="16"/>
    <x v="0"/>
    <s v="High"/>
    <n v="6"/>
    <x v="5"/>
    <s v="June"/>
  </r>
  <r>
    <s v="annEtTE JAMES"/>
    <n v="70"/>
    <x v="0"/>
    <x v="0"/>
    <x v="3"/>
    <d v="2019-10-27T00:00:00"/>
    <s v="Dennis Robbins"/>
    <s v="Johnson, and Petty Rubio"/>
    <x v="0"/>
    <n v="37861.51"/>
    <n v="428"/>
    <x v="1"/>
    <d v="2019-11-12T00:00:00"/>
    <s v="Lipitor"/>
    <x v="0"/>
    <n v="16"/>
    <x v="1"/>
    <s v="High"/>
    <n v="10"/>
    <x v="1"/>
    <s v="October"/>
  </r>
  <r>
    <s v="sUSaN HuRLEY"/>
    <n v="60"/>
    <x v="1"/>
    <x v="6"/>
    <x v="0"/>
    <d v="2022-08-27T00:00:00"/>
    <s v="Sean Rodgers"/>
    <s v="Morse, Hudson Williams and"/>
    <x v="2"/>
    <n v="22952.73"/>
    <n v="342"/>
    <x v="2"/>
    <d v="2022-09-15T00:00:00"/>
    <s v="Penicillin"/>
    <x v="0"/>
    <n v="19"/>
    <x v="1"/>
    <s v="Medium"/>
    <n v="8"/>
    <x v="2"/>
    <s v="August"/>
  </r>
  <r>
    <s v="carOLyN Wade"/>
    <n v="45"/>
    <x v="1"/>
    <x v="1"/>
    <x v="5"/>
    <d v="2019-08-08T00:00:00"/>
    <s v="Nathan Payne"/>
    <s v="Kane, and Dickson Schwartz"/>
    <x v="3"/>
    <n v="2735.03"/>
    <n v="497"/>
    <x v="1"/>
    <d v="2019-08-14T00:00:00"/>
    <s v="Penicillin"/>
    <x v="1"/>
    <n v="6"/>
    <x v="3"/>
    <s v="Low"/>
    <n v="8"/>
    <x v="1"/>
    <s v="August"/>
  </r>
  <r>
    <s v="aNgeLA DelEon"/>
    <n v="30"/>
    <x v="0"/>
    <x v="2"/>
    <x v="5"/>
    <d v="2023-02-12T00:00:00"/>
    <s v="Kristina Gray"/>
    <s v="Inc Mccullough"/>
    <x v="1"/>
    <n v="37755.480000000003"/>
    <n v="128"/>
    <x v="2"/>
    <d v="2023-02-17T00:00:00"/>
    <s v="Paracetamol"/>
    <x v="0"/>
    <n v="5"/>
    <x v="0"/>
    <s v="High"/>
    <n v="2"/>
    <x v="4"/>
    <s v="February"/>
  </r>
  <r>
    <s v="cAROLYN COoPer"/>
    <n v="35"/>
    <x v="0"/>
    <x v="1"/>
    <x v="4"/>
    <d v="2021-05-04T00:00:00"/>
    <s v="Regina Bryant"/>
    <s v="Taylor-Wong"/>
    <x v="1"/>
    <n v="2691.05"/>
    <n v="338"/>
    <x v="2"/>
    <d v="2021-05-10T00:00:00"/>
    <s v="Penicillin"/>
    <x v="1"/>
    <n v="6"/>
    <x v="0"/>
    <s v="Low"/>
    <n v="5"/>
    <x v="5"/>
    <s v="May"/>
  </r>
  <r>
    <s v="reBEcca hARRIs"/>
    <n v="51"/>
    <x v="1"/>
    <x v="3"/>
    <x v="1"/>
    <d v="2021-07-11T00:00:00"/>
    <s v="Karen Donovan"/>
    <s v="Avery-Roy"/>
    <x v="2"/>
    <n v="7897.29"/>
    <n v="335"/>
    <x v="2"/>
    <d v="2021-07-28T00:00:00"/>
    <s v="Lipitor"/>
    <x v="0"/>
    <n v="17"/>
    <x v="3"/>
    <s v="Low"/>
    <n v="7"/>
    <x v="5"/>
    <s v="July"/>
  </r>
  <r>
    <s v="garY cUrtIS"/>
    <n v="61"/>
    <x v="0"/>
    <x v="1"/>
    <x v="2"/>
    <d v="2021-02-10T00:00:00"/>
    <s v="Amber Lopez"/>
    <s v="LLC Anderson"/>
    <x v="1"/>
    <n v="4446.34"/>
    <n v="345"/>
    <x v="1"/>
    <d v="2021-02-18T00:00:00"/>
    <s v="Lipitor"/>
    <x v="1"/>
    <n v="8"/>
    <x v="1"/>
    <s v="Low"/>
    <n v="2"/>
    <x v="5"/>
    <s v="February"/>
  </r>
  <r>
    <s v="ryaN LIU"/>
    <n v="52"/>
    <x v="1"/>
    <x v="4"/>
    <x v="2"/>
    <d v="2021-10-16T00:00:00"/>
    <s v="Vernon Diaz"/>
    <s v="Castaneda-Young"/>
    <x v="0"/>
    <n v="20852.150000000001"/>
    <n v="380"/>
    <x v="2"/>
    <d v="2021-11-04T00:00:00"/>
    <s v="Penicillin"/>
    <x v="0"/>
    <n v="19"/>
    <x v="3"/>
    <s v="Medium"/>
    <n v="10"/>
    <x v="5"/>
    <s v="October"/>
  </r>
  <r>
    <s v="DenNiS MOrROw"/>
    <n v="64"/>
    <x v="1"/>
    <x v="6"/>
    <x v="2"/>
    <d v="2019-10-03T00:00:00"/>
    <s v="Luke Nunez"/>
    <s v="and Thomas Strong, Cook"/>
    <x v="3"/>
    <n v="47701.48"/>
    <n v="109"/>
    <x v="0"/>
    <d v="2019-10-25T00:00:00"/>
    <s v="Lipitor"/>
    <x v="1"/>
    <n v="22"/>
    <x v="1"/>
    <s v="High"/>
    <n v="10"/>
    <x v="1"/>
    <s v="October"/>
  </r>
  <r>
    <s v="JEnNiFEr COOpER"/>
    <n v="25"/>
    <x v="0"/>
    <x v="1"/>
    <x v="1"/>
    <d v="2020-04-26T00:00:00"/>
    <s v="Mary Williams"/>
    <s v="Wells-Price"/>
    <x v="2"/>
    <n v="49934.14"/>
    <n v="258"/>
    <x v="2"/>
    <d v="2020-05-02T00:00:00"/>
    <s v="Aspirin"/>
    <x v="2"/>
    <n v="6"/>
    <x v="0"/>
    <s v="High"/>
    <n v="4"/>
    <x v="3"/>
    <s v="April"/>
  </r>
  <r>
    <s v="JaCOB loPez"/>
    <n v="76"/>
    <x v="1"/>
    <x v="0"/>
    <x v="1"/>
    <d v="2019-09-13T00:00:00"/>
    <s v="Gina Richards"/>
    <s v="Rios Ltd"/>
    <x v="1"/>
    <n v="17263.95"/>
    <n v="394"/>
    <x v="1"/>
    <d v="2019-09-19T00:00:00"/>
    <s v="Penicillin"/>
    <x v="2"/>
    <n v="6"/>
    <x v="2"/>
    <s v="Medium"/>
    <n v="9"/>
    <x v="1"/>
    <s v="September"/>
  </r>
  <r>
    <s v="carOL McClain"/>
    <n v="52"/>
    <x v="1"/>
    <x v="0"/>
    <x v="2"/>
    <d v="2022-01-20T00:00:00"/>
    <s v="Julie West"/>
    <s v="Vincent-Hill"/>
    <x v="2"/>
    <n v="45274.400000000001"/>
    <n v="102"/>
    <x v="1"/>
    <d v="2022-02-06T00:00:00"/>
    <s v="Penicillin"/>
    <x v="1"/>
    <n v="17"/>
    <x v="3"/>
    <s v="High"/>
    <n v="1"/>
    <x v="2"/>
    <s v="January"/>
  </r>
  <r>
    <s v="mIChaeL RiChArdsoN"/>
    <n v="77"/>
    <x v="0"/>
    <x v="6"/>
    <x v="1"/>
    <d v="2023-10-14T00:00:00"/>
    <s v="Greg Scott"/>
    <s v="Brooks LLC"/>
    <x v="1"/>
    <n v="10057.92"/>
    <n v="130"/>
    <x v="2"/>
    <d v="2023-11-04T00:00:00"/>
    <s v="Paracetamol"/>
    <x v="2"/>
    <n v="21"/>
    <x v="2"/>
    <s v="Medium"/>
    <n v="10"/>
    <x v="4"/>
    <s v="October"/>
  </r>
  <r>
    <s v="MARK NGuYEn"/>
    <n v="83"/>
    <x v="0"/>
    <x v="1"/>
    <x v="2"/>
    <d v="2019-11-23T00:00:00"/>
    <s v="Tracy Serrano"/>
    <s v="Group Carpenter"/>
    <x v="1"/>
    <n v="36369.089999999997"/>
    <n v="148"/>
    <x v="0"/>
    <d v="2019-11-26T00:00:00"/>
    <s v="Aspirin"/>
    <x v="0"/>
    <n v="3"/>
    <x v="2"/>
    <s v="High"/>
    <n v="11"/>
    <x v="1"/>
    <s v="November"/>
  </r>
  <r>
    <s v="EriC COOk"/>
    <n v="57"/>
    <x v="1"/>
    <x v="0"/>
    <x v="0"/>
    <d v="2023-12-05T00:00:00"/>
    <s v="Rhonda Gilbert"/>
    <s v="Henderson Carpenter and Barrett,"/>
    <x v="0"/>
    <n v="3548.05"/>
    <n v="431"/>
    <x v="2"/>
    <d v="2023-12-31T00:00:00"/>
    <s v="Lipitor"/>
    <x v="2"/>
    <n v="26"/>
    <x v="1"/>
    <s v="Low"/>
    <n v="12"/>
    <x v="4"/>
    <s v="December"/>
  </r>
  <r>
    <s v="kRISTeN STEPheNS"/>
    <n v="54"/>
    <x v="0"/>
    <x v="6"/>
    <x v="5"/>
    <d v="2021-02-01T00:00:00"/>
    <s v="Penny Bryant"/>
    <s v="Mcdaniel-Walsh"/>
    <x v="3"/>
    <n v="10011.290000000001"/>
    <n v="145"/>
    <x v="1"/>
    <d v="2021-02-07T00:00:00"/>
    <s v="Lipitor"/>
    <x v="1"/>
    <n v="6"/>
    <x v="3"/>
    <s v="Medium"/>
    <n v="2"/>
    <x v="5"/>
    <s v="February"/>
  </r>
  <r>
    <s v="DaNa WAltoN"/>
    <n v="62"/>
    <x v="0"/>
    <x v="2"/>
    <x v="0"/>
    <d v="2022-06-30T00:00:00"/>
    <s v="Edward Webster"/>
    <s v="Ross-Jones"/>
    <x v="0"/>
    <n v="14876.33"/>
    <n v="396"/>
    <x v="0"/>
    <d v="2022-07-01T00:00:00"/>
    <s v="Lipitor"/>
    <x v="1"/>
    <n v="1"/>
    <x v="1"/>
    <s v="Medium"/>
    <n v="6"/>
    <x v="2"/>
    <s v="June"/>
  </r>
  <r>
    <s v="Scott arNOLd"/>
    <n v="37"/>
    <x v="0"/>
    <x v="0"/>
    <x v="5"/>
    <d v="2023-11-09T00:00:00"/>
    <s v="Brandon Flores"/>
    <s v="Mathews, Smith and Moss"/>
    <x v="1"/>
    <n v="30294.65"/>
    <n v="216"/>
    <x v="2"/>
    <d v="2023-11-29T00:00:00"/>
    <s v="Penicillin"/>
    <x v="0"/>
    <n v="20"/>
    <x v="3"/>
    <s v="High"/>
    <n v="11"/>
    <x v="4"/>
    <s v="November"/>
  </r>
  <r>
    <s v="MEGan wHEEleR"/>
    <n v="56"/>
    <x v="1"/>
    <x v="6"/>
    <x v="4"/>
    <d v="2020-07-30T00:00:00"/>
    <s v="Courtney Crane"/>
    <s v="and Lawrence, Williams Thomas"/>
    <x v="0"/>
    <n v="45888.7"/>
    <n v="365"/>
    <x v="2"/>
    <d v="2020-08-10T00:00:00"/>
    <s v="Paracetamol"/>
    <x v="2"/>
    <n v="11"/>
    <x v="1"/>
    <s v="High"/>
    <n v="7"/>
    <x v="3"/>
    <s v="July"/>
  </r>
  <r>
    <s v="AaRON coX"/>
    <n v="68"/>
    <x v="1"/>
    <x v="3"/>
    <x v="5"/>
    <d v="2022-04-10T00:00:00"/>
    <s v="Eric Wallace"/>
    <s v="Wilkerson Group"/>
    <x v="3"/>
    <n v="31958.400000000001"/>
    <n v="203"/>
    <x v="2"/>
    <d v="2022-04-19T00:00:00"/>
    <s v="Lipitor"/>
    <x v="0"/>
    <n v="9"/>
    <x v="1"/>
    <s v="High"/>
    <n v="4"/>
    <x v="2"/>
    <s v="April"/>
  </r>
  <r>
    <s v="CassanDRA MArTineZ"/>
    <n v="46"/>
    <x v="0"/>
    <x v="2"/>
    <x v="1"/>
    <d v="2020-01-02T00:00:00"/>
    <s v="Nicole Norton"/>
    <s v="Villanueva-Garcia"/>
    <x v="1"/>
    <n v="22645.79"/>
    <n v="169"/>
    <x v="0"/>
    <d v="2020-01-16T00:00:00"/>
    <s v="Paracetamol"/>
    <x v="0"/>
    <n v="14"/>
    <x v="3"/>
    <s v="Medium"/>
    <n v="1"/>
    <x v="3"/>
    <s v="January"/>
  </r>
  <r>
    <s v="SHawn bROwn"/>
    <n v="62"/>
    <x v="0"/>
    <x v="0"/>
    <x v="4"/>
    <d v="2023-11-10T00:00:00"/>
    <s v="Angela Cunningham"/>
    <s v="Duffy-Bowman"/>
    <x v="1"/>
    <n v="21297.41"/>
    <n v="362"/>
    <x v="1"/>
    <d v="2023-12-01T00:00:00"/>
    <s v="Paracetamol"/>
    <x v="2"/>
    <n v="21"/>
    <x v="1"/>
    <s v="Medium"/>
    <n v="11"/>
    <x v="4"/>
    <s v="November"/>
  </r>
  <r>
    <s v="SAnDRa WillIamSon"/>
    <n v="49"/>
    <x v="1"/>
    <x v="5"/>
    <x v="2"/>
    <d v="2021-02-14T00:00:00"/>
    <s v="Jessica Morgan"/>
    <s v="Tyler-Velasquez"/>
    <x v="4"/>
    <n v="26432.16"/>
    <n v="402"/>
    <x v="0"/>
    <d v="2021-02-18T00:00:00"/>
    <s v="Aspirin"/>
    <x v="1"/>
    <n v="4"/>
    <x v="3"/>
    <s v="Medium"/>
    <n v="2"/>
    <x v="5"/>
    <s v="February"/>
  </r>
  <r>
    <s v="jenniFeR sTephEnS"/>
    <n v="75"/>
    <x v="0"/>
    <x v="0"/>
    <x v="4"/>
    <d v="2022-07-16T00:00:00"/>
    <s v="Shari Foster"/>
    <s v="James Inc"/>
    <x v="4"/>
    <n v="6336.71"/>
    <n v="428"/>
    <x v="1"/>
    <d v="2022-08-13T00:00:00"/>
    <s v="Ibuprofen"/>
    <x v="0"/>
    <n v="28"/>
    <x v="2"/>
    <s v="Low"/>
    <n v="7"/>
    <x v="2"/>
    <s v="July"/>
  </r>
  <r>
    <s v="stePHANIe ROdRigueZ"/>
    <n v="40"/>
    <x v="1"/>
    <x v="3"/>
    <x v="2"/>
    <d v="2023-05-15T00:00:00"/>
    <s v="Danielle Collins"/>
    <s v="Montgomery-Jones"/>
    <x v="1"/>
    <n v="31063.56"/>
    <n v="345"/>
    <x v="2"/>
    <d v="2023-05-27T00:00:00"/>
    <s v="Penicillin"/>
    <x v="0"/>
    <n v="12"/>
    <x v="3"/>
    <s v="High"/>
    <n v="5"/>
    <x v="4"/>
    <s v="May"/>
  </r>
  <r>
    <s v="CaROlIne mCinTyRe"/>
    <n v="51"/>
    <x v="1"/>
    <x v="4"/>
    <x v="5"/>
    <d v="2020-04-30T00:00:00"/>
    <s v="Beth Mckenzie"/>
    <s v="Montgomery-Anthony"/>
    <x v="3"/>
    <n v="10710.33"/>
    <n v="461"/>
    <x v="0"/>
    <d v="2020-05-22T00:00:00"/>
    <s v="Penicillin"/>
    <x v="2"/>
    <n v="22"/>
    <x v="3"/>
    <s v="Medium"/>
    <n v="4"/>
    <x v="3"/>
    <s v="April"/>
  </r>
  <r>
    <s v="Mr. cAMeROn RoBINsoN"/>
    <n v="64"/>
    <x v="0"/>
    <x v="4"/>
    <x v="3"/>
    <d v="2021-01-12T00:00:00"/>
    <s v="Evan Johnson"/>
    <s v="Davis-Padilla"/>
    <x v="0"/>
    <n v="25066.52"/>
    <n v="454"/>
    <x v="0"/>
    <d v="2021-01-25T00:00:00"/>
    <s v="Ibuprofen"/>
    <x v="2"/>
    <n v="13"/>
    <x v="1"/>
    <s v="Medium"/>
    <n v="1"/>
    <x v="5"/>
    <s v="January"/>
  </r>
  <r>
    <s v="taMmY pINEdA"/>
    <n v="49"/>
    <x v="1"/>
    <x v="7"/>
    <x v="5"/>
    <d v="2019-05-23T00:00:00"/>
    <s v="Wendy Rivera"/>
    <s v="Ellison-Hayden"/>
    <x v="4"/>
    <n v="13396.9"/>
    <n v="273"/>
    <x v="1"/>
    <d v="2019-06-02T00:00:00"/>
    <s v="Paracetamol"/>
    <x v="0"/>
    <n v="10"/>
    <x v="3"/>
    <s v="Medium"/>
    <n v="5"/>
    <x v="1"/>
    <s v="May"/>
  </r>
  <r>
    <s v="nATaLiE aNdeRson"/>
    <n v="74"/>
    <x v="0"/>
    <x v="1"/>
    <x v="1"/>
    <d v="2023-04-23T00:00:00"/>
    <s v="Cindy Maxwell"/>
    <s v="Long-Lee"/>
    <x v="0"/>
    <n v="29822.1"/>
    <n v="231"/>
    <x v="1"/>
    <d v="2023-05-09T00:00:00"/>
    <s v="Lipitor"/>
    <x v="0"/>
    <n v="16"/>
    <x v="2"/>
    <s v="Medium"/>
    <n v="4"/>
    <x v="4"/>
    <s v="April"/>
  </r>
  <r>
    <s v="jAsminE RodrIgueZ"/>
    <n v="66"/>
    <x v="1"/>
    <x v="2"/>
    <x v="4"/>
    <d v="2022-12-07T00:00:00"/>
    <s v="Crystal Hays"/>
    <s v="Graves LLC"/>
    <x v="1"/>
    <n v="12025.35"/>
    <n v="434"/>
    <x v="0"/>
    <d v="2023-01-01T00:00:00"/>
    <s v="Aspirin"/>
    <x v="2"/>
    <n v="25"/>
    <x v="1"/>
    <s v="Medium"/>
    <n v="12"/>
    <x v="2"/>
    <s v="December"/>
  </r>
  <r>
    <s v="deBRA MCkee"/>
    <n v="52"/>
    <x v="1"/>
    <x v="2"/>
    <x v="5"/>
    <d v="2020-10-25T00:00:00"/>
    <s v="Jay Barr"/>
    <s v="and Sons Dixon"/>
    <x v="2"/>
    <n v="33708.86"/>
    <n v="191"/>
    <x v="2"/>
    <d v="2020-11-04T00:00:00"/>
    <s v="Lipitor"/>
    <x v="2"/>
    <n v="10"/>
    <x v="3"/>
    <s v="High"/>
    <n v="10"/>
    <x v="3"/>
    <s v="October"/>
  </r>
  <r>
    <s v="sANDRa GReENe"/>
    <n v="58"/>
    <x v="1"/>
    <x v="0"/>
    <x v="1"/>
    <d v="2021-04-08T00:00:00"/>
    <s v="Lisa Long"/>
    <s v="Clark, Garza Tate and"/>
    <x v="4"/>
    <n v="40825.08"/>
    <n v="231"/>
    <x v="2"/>
    <d v="2021-05-01T00:00:00"/>
    <s v="Ibuprofen"/>
    <x v="0"/>
    <n v="23"/>
    <x v="1"/>
    <s v="High"/>
    <n v="4"/>
    <x v="5"/>
    <s v="April"/>
  </r>
  <r>
    <s v="cRystAl MorRIS"/>
    <n v="21"/>
    <x v="0"/>
    <x v="0"/>
    <x v="5"/>
    <d v="2020-09-09T00:00:00"/>
    <s v="Brianna Kelly"/>
    <s v="Bates Inc"/>
    <x v="2"/>
    <n v="27345.46"/>
    <n v="371"/>
    <x v="1"/>
    <d v="2020-10-04T00:00:00"/>
    <s v="Aspirin"/>
    <x v="1"/>
    <n v="25"/>
    <x v="0"/>
    <s v="Medium"/>
    <n v="9"/>
    <x v="3"/>
    <s v="September"/>
  </r>
  <r>
    <s v="jaSoN pArKER"/>
    <n v="69"/>
    <x v="0"/>
    <x v="4"/>
    <x v="5"/>
    <d v="2019-12-06T00:00:00"/>
    <s v="David Hanson"/>
    <s v="LLC Sanford"/>
    <x v="2"/>
    <n v="38751.800000000003"/>
    <n v="439"/>
    <x v="1"/>
    <d v="2019-12-08T00:00:00"/>
    <s v="Ibuprofen"/>
    <x v="1"/>
    <n v="2"/>
    <x v="1"/>
    <s v="High"/>
    <n v="12"/>
    <x v="1"/>
    <s v="December"/>
  </r>
  <r>
    <s v="ROy JONEs"/>
    <n v="47"/>
    <x v="1"/>
    <x v="5"/>
    <x v="3"/>
    <d v="2023-02-16T00:00:00"/>
    <s v="David Stevens"/>
    <s v="and Harper Sons"/>
    <x v="2"/>
    <n v="6252.08"/>
    <n v="365"/>
    <x v="2"/>
    <d v="2023-03-06T00:00:00"/>
    <s v="Penicillin"/>
    <x v="1"/>
    <n v="18"/>
    <x v="3"/>
    <s v="Low"/>
    <n v="2"/>
    <x v="4"/>
    <s v="February"/>
  </r>
  <r>
    <s v="RIcHaRd aNDeRsoN"/>
    <n v="51"/>
    <x v="1"/>
    <x v="7"/>
    <x v="4"/>
    <d v="2023-09-12T00:00:00"/>
    <s v="Richard Ayala"/>
    <s v="Young Mcclain, Newman and"/>
    <x v="3"/>
    <n v="18714.34"/>
    <n v="270"/>
    <x v="1"/>
    <d v="2023-10-12T00:00:00"/>
    <s v="Penicillin"/>
    <x v="2"/>
    <n v="30"/>
    <x v="3"/>
    <s v="Medium"/>
    <n v="9"/>
    <x v="4"/>
    <s v="September"/>
  </r>
  <r>
    <s v="JenNIfEr FoSTer"/>
    <n v="20"/>
    <x v="1"/>
    <x v="1"/>
    <x v="0"/>
    <d v="2019-11-21T00:00:00"/>
    <s v="Nathan Adams"/>
    <s v="Ray, Cain and Miller"/>
    <x v="0"/>
    <n v="14291.7"/>
    <n v="436"/>
    <x v="2"/>
    <d v="2019-12-11T00:00:00"/>
    <s v="Ibuprofen"/>
    <x v="1"/>
    <n v="20"/>
    <x v="0"/>
    <s v="Medium"/>
    <n v="11"/>
    <x v="1"/>
    <s v="November"/>
  </r>
  <r>
    <s v="dEBBIE wILSOn"/>
    <n v="38"/>
    <x v="1"/>
    <x v="0"/>
    <x v="4"/>
    <d v="2019-07-14T00:00:00"/>
    <s v="Jennifer Munoz"/>
    <s v="Zamora-Rivers"/>
    <x v="0"/>
    <n v="38210.959999999999"/>
    <n v="413"/>
    <x v="2"/>
    <d v="2019-07-19T00:00:00"/>
    <s v="Lipitor"/>
    <x v="1"/>
    <n v="5"/>
    <x v="3"/>
    <s v="High"/>
    <n v="7"/>
    <x v="1"/>
    <s v="July"/>
  </r>
  <r>
    <s v="tRavIS flOreS"/>
    <n v="70"/>
    <x v="1"/>
    <x v="4"/>
    <x v="1"/>
    <d v="2019-10-03T00:00:00"/>
    <s v="Beth Brown"/>
    <s v="and Perez Smith, Kim"/>
    <x v="2"/>
    <n v="7074.79"/>
    <n v="339"/>
    <x v="1"/>
    <d v="2019-11-02T00:00:00"/>
    <s v="Paracetamol"/>
    <x v="1"/>
    <n v="30"/>
    <x v="1"/>
    <s v="Low"/>
    <n v="10"/>
    <x v="1"/>
    <s v="October"/>
  </r>
  <r>
    <s v="emIly yOUNg"/>
    <n v="73"/>
    <x v="0"/>
    <x v="7"/>
    <x v="5"/>
    <d v="2019-07-04T00:00:00"/>
    <s v="Karen Jones"/>
    <s v="Johnson-Wilson"/>
    <x v="3"/>
    <n v="35419.51"/>
    <n v="500"/>
    <x v="2"/>
    <d v="2019-07-06T00:00:00"/>
    <s v="Penicillin"/>
    <x v="2"/>
    <n v="2"/>
    <x v="2"/>
    <s v="High"/>
    <n v="7"/>
    <x v="1"/>
    <s v="July"/>
  </r>
  <r>
    <s v="sANDy halL"/>
    <n v="44"/>
    <x v="0"/>
    <x v="4"/>
    <x v="4"/>
    <d v="2019-05-26T00:00:00"/>
    <s v="Seth Burnett"/>
    <s v="Delacruz-Chavez"/>
    <x v="1"/>
    <n v="3852.95"/>
    <n v="328"/>
    <x v="1"/>
    <d v="2019-06-08T00:00:00"/>
    <s v="Paracetamol"/>
    <x v="2"/>
    <n v="13"/>
    <x v="3"/>
    <s v="Low"/>
    <n v="5"/>
    <x v="1"/>
    <s v="May"/>
  </r>
  <r>
    <s v="madIsOn WRigHT"/>
    <n v="44"/>
    <x v="1"/>
    <x v="1"/>
    <x v="1"/>
    <d v="2021-12-12T00:00:00"/>
    <s v="Kevin Johnson"/>
    <s v="and Gonzalez, Warren Moore"/>
    <x v="4"/>
    <n v="48747.55"/>
    <n v="321"/>
    <x v="2"/>
    <d v="2021-12-18T00:00:00"/>
    <s v="Paracetamol"/>
    <x v="0"/>
    <n v="6"/>
    <x v="3"/>
    <s v="High"/>
    <n v="12"/>
    <x v="5"/>
    <s v="December"/>
  </r>
  <r>
    <s v="AMy manN"/>
    <n v="54"/>
    <x v="0"/>
    <x v="5"/>
    <x v="4"/>
    <d v="2021-05-22T00:00:00"/>
    <s v="Julie Garza"/>
    <s v="Ramirez-Humphrey"/>
    <x v="2"/>
    <n v="40577.599999999999"/>
    <n v="101"/>
    <x v="0"/>
    <d v="2021-06-01T00:00:00"/>
    <s v="Penicillin"/>
    <x v="2"/>
    <n v="10"/>
    <x v="3"/>
    <s v="High"/>
    <n v="5"/>
    <x v="5"/>
    <s v="May"/>
  </r>
  <r>
    <s v="Jason stEELe"/>
    <n v="45"/>
    <x v="0"/>
    <x v="5"/>
    <x v="2"/>
    <d v="2020-09-03T00:00:00"/>
    <s v="Brian Mack"/>
    <s v="and Sons Ford"/>
    <x v="3"/>
    <n v="16648.55"/>
    <n v="424"/>
    <x v="1"/>
    <d v="2020-09-15T00:00:00"/>
    <s v="Aspirin"/>
    <x v="0"/>
    <n v="12"/>
    <x v="3"/>
    <s v="Medium"/>
    <n v="9"/>
    <x v="3"/>
    <s v="September"/>
  </r>
  <r>
    <s v="PAmEla mIDdlEtoN"/>
    <n v="18"/>
    <x v="1"/>
    <x v="0"/>
    <x v="5"/>
    <d v="2022-03-30T00:00:00"/>
    <s v="Jennifer Johnson"/>
    <s v="and Wells, Thomas Kline"/>
    <x v="3"/>
    <n v="38588.97"/>
    <n v="449"/>
    <x v="0"/>
    <d v="2022-04-13T00:00:00"/>
    <s v="Penicillin"/>
    <x v="2"/>
    <n v="14"/>
    <x v="0"/>
    <s v="High"/>
    <n v="3"/>
    <x v="2"/>
    <s v="March"/>
  </r>
  <r>
    <s v="liSA JAcKsOn"/>
    <n v="44"/>
    <x v="0"/>
    <x v="6"/>
    <x v="4"/>
    <d v="2019-12-20T00:00:00"/>
    <s v="Joseph Barnes"/>
    <s v="Wood-Herring"/>
    <x v="4"/>
    <n v="32990.19"/>
    <n v="486"/>
    <x v="2"/>
    <d v="2020-01-18T00:00:00"/>
    <s v="Ibuprofen"/>
    <x v="0"/>
    <n v="29"/>
    <x v="3"/>
    <s v="High"/>
    <n v="12"/>
    <x v="1"/>
    <s v="December"/>
  </r>
  <r>
    <s v="SaMantHA PATEl"/>
    <n v="28"/>
    <x v="1"/>
    <x v="1"/>
    <x v="1"/>
    <d v="2022-01-21T00:00:00"/>
    <s v="Daryl Cross"/>
    <s v="Wilkerson LLC"/>
    <x v="1"/>
    <n v="20115.759999999998"/>
    <n v="236"/>
    <x v="0"/>
    <d v="2022-02-20T00:00:00"/>
    <s v="Paracetamol"/>
    <x v="2"/>
    <n v="30"/>
    <x v="0"/>
    <s v="Medium"/>
    <n v="1"/>
    <x v="2"/>
    <s v="January"/>
  </r>
  <r>
    <s v="HeRberT RodRIGUEZ"/>
    <n v="42"/>
    <x v="0"/>
    <x v="1"/>
    <x v="1"/>
    <d v="2020-05-19T00:00:00"/>
    <s v="Jonathan Edwards"/>
    <s v="Brown-Henry"/>
    <x v="1"/>
    <n v="5947.69"/>
    <n v="196"/>
    <x v="1"/>
    <d v="2020-06-12T00:00:00"/>
    <s v="Aspirin"/>
    <x v="1"/>
    <n v="24"/>
    <x v="3"/>
    <s v="Low"/>
    <n v="5"/>
    <x v="3"/>
    <s v="May"/>
  </r>
  <r>
    <s v="OliviA pOWELl"/>
    <n v="61"/>
    <x v="1"/>
    <x v="1"/>
    <x v="2"/>
    <d v="2024-02-20T00:00:00"/>
    <s v="Adam Hardy"/>
    <s v="Sheppard-Livingston"/>
    <x v="4"/>
    <n v="28281.35"/>
    <n v="477"/>
    <x v="1"/>
    <d v="2024-03-08T00:00:00"/>
    <s v="Penicillin"/>
    <x v="2"/>
    <n v="17"/>
    <x v="1"/>
    <s v="Medium"/>
    <n v="2"/>
    <x v="0"/>
    <s v="February"/>
  </r>
  <r>
    <s v="SAmaNThA PERkins"/>
    <n v="75"/>
    <x v="1"/>
    <x v="5"/>
    <x v="0"/>
    <d v="2023-08-31T00:00:00"/>
    <s v="Robert Ashley"/>
    <s v="Golden PLC"/>
    <x v="1"/>
    <n v="30873.62"/>
    <n v="252"/>
    <x v="2"/>
    <d v="2023-09-07T00:00:00"/>
    <s v="Ibuprofen"/>
    <x v="1"/>
    <n v="7"/>
    <x v="2"/>
    <s v="High"/>
    <n v="8"/>
    <x v="4"/>
    <s v="August"/>
  </r>
  <r>
    <s v="mIchaeL POtTs"/>
    <n v="85"/>
    <x v="0"/>
    <x v="1"/>
    <x v="4"/>
    <d v="2023-01-19T00:00:00"/>
    <s v="Mary Vaughn"/>
    <s v="and Perez, Bennett Townsend"/>
    <x v="4"/>
    <n v="9542.74"/>
    <n v="289"/>
    <x v="1"/>
    <d v="2023-01-28T00:00:00"/>
    <s v="Paracetamol"/>
    <x v="2"/>
    <n v="9"/>
    <x v="2"/>
    <s v="Low"/>
    <n v="1"/>
    <x v="4"/>
    <s v="January"/>
  </r>
  <r>
    <s v="KeRRy HErnANDEz"/>
    <n v="74"/>
    <x v="0"/>
    <x v="7"/>
    <x v="1"/>
    <d v="2023-11-20T00:00:00"/>
    <s v="Steven Simmons"/>
    <s v="Johnson, and Benson Harris"/>
    <x v="0"/>
    <n v="32429.62"/>
    <n v="191"/>
    <x v="1"/>
    <d v="2023-12-17T00:00:00"/>
    <s v="Ibuprofen"/>
    <x v="1"/>
    <n v="27"/>
    <x v="2"/>
    <s v="High"/>
    <n v="11"/>
    <x v="4"/>
    <s v="November"/>
  </r>
  <r>
    <s v="jOSHUa reyEs"/>
    <n v="59"/>
    <x v="0"/>
    <x v="4"/>
    <x v="1"/>
    <d v="2021-07-28T00:00:00"/>
    <s v="Mrs. Jessica Martinez"/>
    <s v="and Clay, Morton Cunningham"/>
    <x v="4"/>
    <n v="5588.99"/>
    <n v="459"/>
    <x v="0"/>
    <d v="2021-08-03T00:00:00"/>
    <s v="Penicillin"/>
    <x v="0"/>
    <n v="6"/>
    <x v="1"/>
    <s v="Low"/>
    <n v="7"/>
    <x v="5"/>
    <s v="July"/>
  </r>
  <r>
    <s v="JeNniFER oRteGA"/>
    <n v="49"/>
    <x v="0"/>
    <x v="2"/>
    <x v="3"/>
    <d v="2023-04-04T00:00:00"/>
    <s v="Erin Arias"/>
    <s v="Anderson-Estrada"/>
    <x v="3"/>
    <n v="31497.55"/>
    <n v="265"/>
    <x v="1"/>
    <d v="2023-04-27T00:00:00"/>
    <s v="Lipitor"/>
    <x v="1"/>
    <n v="23"/>
    <x v="3"/>
    <s v="High"/>
    <n v="4"/>
    <x v="4"/>
    <s v="April"/>
  </r>
  <r>
    <s v="BrIttANY BRaun"/>
    <n v="85"/>
    <x v="1"/>
    <x v="0"/>
    <x v="1"/>
    <d v="2020-08-11T00:00:00"/>
    <s v="Daniel Golden"/>
    <s v="and Sons Carlson"/>
    <x v="4"/>
    <n v="14283.02"/>
    <n v="138"/>
    <x v="2"/>
    <d v="2020-08-24T00:00:00"/>
    <s v="Ibuprofen"/>
    <x v="1"/>
    <n v="13"/>
    <x v="2"/>
    <s v="Medium"/>
    <n v="8"/>
    <x v="3"/>
    <s v="August"/>
  </r>
  <r>
    <s v="daniel cHEn"/>
    <n v="51"/>
    <x v="1"/>
    <x v="6"/>
    <x v="4"/>
    <d v="2020-01-28T00:00:00"/>
    <s v="Anthony Malone"/>
    <s v="Gonzalez Inc"/>
    <x v="4"/>
    <n v="15422.04"/>
    <n v="154"/>
    <x v="0"/>
    <d v="2020-02-21T00:00:00"/>
    <s v="Ibuprofen"/>
    <x v="1"/>
    <n v="24"/>
    <x v="3"/>
    <s v="Medium"/>
    <n v="1"/>
    <x v="3"/>
    <s v="January"/>
  </r>
  <r>
    <s v="ErICA hart"/>
    <n v="23"/>
    <x v="0"/>
    <x v="4"/>
    <x v="3"/>
    <d v="2020-01-07T00:00:00"/>
    <s v="Charlotte Reyes MD"/>
    <s v="Schaefer-Hoffman"/>
    <x v="4"/>
    <n v="40309.279999999999"/>
    <n v="219"/>
    <x v="1"/>
    <d v="2020-02-05T00:00:00"/>
    <s v="Penicillin"/>
    <x v="1"/>
    <n v="29"/>
    <x v="0"/>
    <s v="High"/>
    <n v="1"/>
    <x v="3"/>
    <s v="January"/>
  </r>
  <r>
    <s v="alIcIa scOTt"/>
    <n v="26"/>
    <x v="0"/>
    <x v="7"/>
    <x v="3"/>
    <d v="2020-04-20T00:00:00"/>
    <s v="Miguel Green"/>
    <s v="Wilson Group"/>
    <x v="2"/>
    <n v="45916.32"/>
    <n v="301"/>
    <x v="2"/>
    <d v="2020-05-17T00:00:00"/>
    <s v="Penicillin"/>
    <x v="2"/>
    <n v="27"/>
    <x v="0"/>
    <s v="High"/>
    <n v="4"/>
    <x v="3"/>
    <s v="April"/>
  </r>
  <r>
    <s v="amandA aGUIrRE"/>
    <n v="59"/>
    <x v="1"/>
    <x v="4"/>
    <x v="1"/>
    <d v="2020-03-18T00:00:00"/>
    <s v="Frederick White"/>
    <s v="and Vargas Reynolds Evans,"/>
    <x v="0"/>
    <n v="41632.519999999997"/>
    <n v="395"/>
    <x v="2"/>
    <d v="2020-03-25T00:00:00"/>
    <s v="Penicillin"/>
    <x v="0"/>
    <n v="7"/>
    <x v="1"/>
    <s v="High"/>
    <n v="3"/>
    <x v="3"/>
    <s v="March"/>
  </r>
  <r>
    <s v="mark hIcKs"/>
    <n v="25"/>
    <x v="1"/>
    <x v="5"/>
    <x v="2"/>
    <d v="2020-06-18T00:00:00"/>
    <s v="Lisa Ruiz"/>
    <s v="Cantu and Tanner Rojas,"/>
    <x v="1"/>
    <n v="7437.42"/>
    <n v="412"/>
    <x v="1"/>
    <d v="2020-06-23T00:00:00"/>
    <s v="Paracetamol"/>
    <x v="1"/>
    <n v="5"/>
    <x v="0"/>
    <s v="Low"/>
    <n v="6"/>
    <x v="3"/>
    <s v="June"/>
  </r>
  <r>
    <s v="TIMOtHy daVIS"/>
    <n v="29"/>
    <x v="0"/>
    <x v="7"/>
    <x v="0"/>
    <d v="2023-07-15T00:00:00"/>
    <s v="Cody Rice"/>
    <s v="Thornton, Adams Mccarty and"/>
    <x v="1"/>
    <n v="38860.019999999997"/>
    <n v="436"/>
    <x v="2"/>
    <d v="2023-07-27T00:00:00"/>
    <s v="Aspirin"/>
    <x v="2"/>
    <n v="12"/>
    <x v="0"/>
    <s v="High"/>
    <n v="7"/>
    <x v="4"/>
    <s v="July"/>
  </r>
  <r>
    <s v="LONNIE DomInguEZ"/>
    <n v="25"/>
    <x v="0"/>
    <x v="2"/>
    <x v="4"/>
    <d v="2023-10-02T00:00:00"/>
    <s v="April Foster"/>
    <s v="Cantrell-Griffith"/>
    <x v="4"/>
    <n v="6662.24"/>
    <n v="249"/>
    <x v="0"/>
    <d v="2023-10-24T00:00:00"/>
    <s v="Ibuprofen"/>
    <x v="1"/>
    <n v="22"/>
    <x v="0"/>
    <s v="Low"/>
    <n v="10"/>
    <x v="4"/>
    <s v="October"/>
  </r>
  <r>
    <s v="KIMbERLY hALE"/>
    <n v="61"/>
    <x v="0"/>
    <x v="0"/>
    <x v="2"/>
    <d v="2021-01-13T00:00:00"/>
    <s v="Justin Russell"/>
    <s v="Martin Group"/>
    <x v="4"/>
    <n v="13074.22"/>
    <n v="147"/>
    <x v="0"/>
    <d v="2021-02-05T00:00:00"/>
    <s v="Aspirin"/>
    <x v="1"/>
    <n v="23"/>
    <x v="1"/>
    <s v="Medium"/>
    <n v="1"/>
    <x v="5"/>
    <s v="January"/>
  </r>
  <r>
    <s v="Dana WilLIAMsoN"/>
    <n v="46"/>
    <x v="0"/>
    <x v="1"/>
    <x v="4"/>
    <d v="2022-05-16T00:00:00"/>
    <s v="Daniel Thomas"/>
    <s v="and Sons Nelson"/>
    <x v="2"/>
    <n v="10443.209999999999"/>
    <n v="408"/>
    <x v="2"/>
    <d v="2022-05-31T00:00:00"/>
    <s v="Aspirin"/>
    <x v="1"/>
    <n v="15"/>
    <x v="3"/>
    <s v="Medium"/>
    <n v="5"/>
    <x v="2"/>
    <s v="May"/>
  </r>
  <r>
    <s v="mr. GEORGe BROwN jr."/>
    <n v="54"/>
    <x v="0"/>
    <x v="5"/>
    <x v="4"/>
    <d v="2019-10-22T00:00:00"/>
    <s v="Emily Williamson"/>
    <s v="Ramirez-Hill"/>
    <x v="0"/>
    <n v="20227.04"/>
    <n v="144"/>
    <x v="1"/>
    <d v="2019-11-01T00:00:00"/>
    <s v="Aspirin"/>
    <x v="2"/>
    <n v="10"/>
    <x v="3"/>
    <s v="Medium"/>
    <n v="10"/>
    <x v="1"/>
    <s v="October"/>
  </r>
  <r>
    <s v="ALLEn cAmACho"/>
    <n v="41"/>
    <x v="0"/>
    <x v="1"/>
    <x v="1"/>
    <d v="2019-08-09T00:00:00"/>
    <s v="Veronica Christian"/>
    <s v="Jackson-Butler"/>
    <x v="1"/>
    <n v="38779.21"/>
    <n v="268"/>
    <x v="1"/>
    <d v="2019-09-03T00:00:00"/>
    <s v="Paracetamol"/>
    <x v="2"/>
    <n v="25"/>
    <x v="3"/>
    <s v="High"/>
    <n v="8"/>
    <x v="1"/>
    <s v="August"/>
  </r>
  <r>
    <s v="NATHan woOdS"/>
    <n v="21"/>
    <x v="1"/>
    <x v="7"/>
    <x v="3"/>
    <d v="2023-12-30T00:00:00"/>
    <s v="Monica Odonnell"/>
    <s v="Miller-Avila"/>
    <x v="2"/>
    <n v="4561.66"/>
    <n v="357"/>
    <x v="2"/>
    <d v="2024-01-27T00:00:00"/>
    <s v="Lipitor"/>
    <x v="2"/>
    <n v="28"/>
    <x v="0"/>
    <s v="Low"/>
    <n v="12"/>
    <x v="4"/>
    <s v="December"/>
  </r>
  <r>
    <s v="caTheriNe sMitH"/>
    <n v="38"/>
    <x v="1"/>
    <x v="4"/>
    <x v="2"/>
    <d v="2022-07-11T00:00:00"/>
    <s v="Cody Berger"/>
    <s v="Reyes-Crawford"/>
    <x v="1"/>
    <n v="1656.55"/>
    <n v="176"/>
    <x v="2"/>
    <d v="2022-08-03T00:00:00"/>
    <s v="Lipitor"/>
    <x v="2"/>
    <n v="23"/>
    <x v="3"/>
    <s v="Low"/>
    <n v="7"/>
    <x v="2"/>
    <s v="July"/>
  </r>
  <r>
    <s v="JerRy leE"/>
    <n v="75"/>
    <x v="0"/>
    <x v="4"/>
    <x v="1"/>
    <d v="2020-09-19T00:00:00"/>
    <s v="Jeffrey White"/>
    <s v="Marshall-Smith"/>
    <x v="2"/>
    <n v="28463.86"/>
    <n v="200"/>
    <x v="1"/>
    <d v="2020-10-06T00:00:00"/>
    <s v="Penicillin"/>
    <x v="1"/>
    <n v="17"/>
    <x v="2"/>
    <s v="Medium"/>
    <n v="9"/>
    <x v="3"/>
    <s v="September"/>
  </r>
  <r>
    <s v="AlexaNder COLEMan"/>
    <n v="44"/>
    <x v="0"/>
    <x v="6"/>
    <x v="0"/>
    <d v="2019-09-06T00:00:00"/>
    <s v="Stacey Burgess"/>
    <s v="and Peterson Matthews Robinson,"/>
    <x v="3"/>
    <n v="5268.69"/>
    <n v="142"/>
    <x v="0"/>
    <d v="2019-09-07T00:00:00"/>
    <s v="Ibuprofen"/>
    <x v="1"/>
    <n v="1"/>
    <x v="3"/>
    <s v="Low"/>
    <n v="9"/>
    <x v="1"/>
    <s v="September"/>
  </r>
  <r>
    <s v="dAvid JENSEN"/>
    <n v="23"/>
    <x v="0"/>
    <x v="7"/>
    <x v="1"/>
    <d v="2019-11-22T00:00:00"/>
    <s v="Ethan Spencer"/>
    <s v="Nelson PLC"/>
    <x v="4"/>
    <n v="24011.7"/>
    <n v="442"/>
    <x v="1"/>
    <d v="2019-12-22T00:00:00"/>
    <s v="Paracetamol"/>
    <x v="1"/>
    <n v="30"/>
    <x v="0"/>
    <s v="Medium"/>
    <n v="11"/>
    <x v="1"/>
    <s v="November"/>
  </r>
  <r>
    <s v="DeBORAH EVaNs"/>
    <n v="45"/>
    <x v="1"/>
    <x v="0"/>
    <x v="0"/>
    <d v="2020-07-22T00:00:00"/>
    <s v="Jonathan Baker"/>
    <s v="Perez-Mitchell"/>
    <x v="1"/>
    <n v="18467.080000000002"/>
    <n v="177"/>
    <x v="2"/>
    <d v="2020-07-24T00:00:00"/>
    <s v="Penicillin"/>
    <x v="2"/>
    <n v="2"/>
    <x v="3"/>
    <s v="Medium"/>
    <n v="7"/>
    <x v="3"/>
    <s v="July"/>
  </r>
  <r>
    <s v="ALEXaNdRIa coLon"/>
    <n v="58"/>
    <x v="0"/>
    <x v="6"/>
    <x v="0"/>
    <d v="2022-03-01T00:00:00"/>
    <s v="Tonya Burton"/>
    <s v="Gross, Thompson Smith and"/>
    <x v="2"/>
    <n v="3782.74"/>
    <n v="134"/>
    <x v="0"/>
    <d v="2022-03-19T00:00:00"/>
    <s v="Paracetamol"/>
    <x v="2"/>
    <n v="18"/>
    <x v="1"/>
    <s v="Low"/>
    <n v="3"/>
    <x v="2"/>
    <s v="March"/>
  </r>
  <r>
    <s v="sAMUEL HANSOn"/>
    <n v="34"/>
    <x v="0"/>
    <x v="0"/>
    <x v="2"/>
    <d v="2023-03-01T00:00:00"/>
    <s v="Phillip Campos"/>
    <s v="Burch, Moore and Thompson"/>
    <x v="2"/>
    <n v="11921.66"/>
    <n v="355"/>
    <x v="0"/>
    <d v="2023-03-21T00:00:00"/>
    <s v="Ibuprofen"/>
    <x v="1"/>
    <n v="20"/>
    <x v="0"/>
    <s v="Medium"/>
    <n v="3"/>
    <x v="4"/>
    <s v="March"/>
  </r>
  <r>
    <s v="BryaN phILliPS"/>
    <n v="54"/>
    <x v="1"/>
    <x v="6"/>
    <x v="1"/>
    <d v="2021-04-22T00:00:00"/>
    <s v="Billy Rodgers"/>
    <s v="Hamilton Group"/>
    <x v="4"/>
    <n v="16725.98"/>
    <n v="361"/>
    <x v="0"/>
    <d v="2021-05-11T00:00:00"/>
    <s v="Lipitor"/>
    <x v="2"/>
    <n v="19"/>
    <x v="3"/>
    <s v="Medium"/>
    <n v="4"/>
    <x v="5"/>
    <s v="April"/>
  </r>
  <r>
    <s v="naThaN wileY"/>
    <n v="29"/>
    <x v="1"/>
    <x v="1"/>
    <x v="1"/>
    <d v="2020-09-23T00:00:00"/>
    <s v="Sherri Campbell"/>
    <s v="Shaw LLC"/>
    <x v="4"/>
    <n v="39700.82"/>
    <n v="421"/>
    <x v="0"/>
    <d v="2020-09-25T00:00:00"/>
    <s v="Paracetamol"/>
    <x v="1"/>
    <n v="2"/>
    <x v="0"/>
    <s v="High"/>
    <n v="9"/>
    <x v="3"/>
    <s v="September"/>
  </r>
  <r>
    <s v="ALiShA muRpHy"/>
    <n v="54"/>
    <x v="1"/>
    <x v="1"/>
    <x v="0"/>
    <d v="2023-01-08T00:00:00"/>
    <s v="Alex Neal"/>
    <s v="and Day, Lewis Coleman"/>
    <x v="1"/>
    <n v="2568.0100000000002"/>
    <n v="136"/>
    <x v="1"/>
    <d v="2023-01-19T00:00:00"/>
    <s v="Lipitor"/>
    <x v="2"/>
    <n v="11"/>
    <x v="3"/>
    <s v="Low"/>
    <n v="1"/>
    <x v="4"/>
    <s v="January"/>
  </r>
  <r>
    <s v="AMANdA lUcEro"/>
    <n v="46"/>
    <x v="0"/>
    <x v="5"/>
    <x v="3"/>
    <d v="2022-08-17T00:00:00"/>
    <s v="Mark Martin"/>
    <s v="Stone-Perez"/>
    <x v="1"/>
    <n v="15242.39"/>
    <n v="203"/>
    <x v="2"/>
    <d v="2022-09-08T00:00:00"/>
    <s v="Paracetamol"/>
    <x v="2"/>
    <n v="22"/>
    <x v="3"/>
    <s v="Medium"/>
    <n v="8"/>
    <x v="2"/>
    <s v="August"/>
  </r>
  <r>
    <s v="SHeIla SelLErs"/>
    <n v="35"/>
    <x v="1"/>
    <x v="4"/>
    <x v="4"/>
    <d v="2021-06-15T00:00:00"/>
    <s v="James Smith"/>
    <s v="Ltd Foley"/>
    <x v="3"/>
    <n v="31054.05"/>
    <n v="114"/>
    <x v="0"/>
    <d v="2021-06-25T00:00:00"/>
    <s v="Lipitor"/>
    <x v="0"/>
    <n v="10"/>
    <x v="0"/>
    <s v="High"/>
    <n v="6"/>
    <x v="5"/>
    <s v="June"/>
  </r>
  <r>
    <s v="sUSaN Chan"/>
    <n v="58"/>
    <x v="1"/>
    <x v="4"/>
    <x v="1"/>
    <d v="2024-03-01T00:00:00"/>
    <s v="Amber Walker"/>
    <s v="Ward-Mayer"/>
    <x v="0"/>
    <n v="49118.59"/>
    <n v="114"/>
    <x v="0"/>
    <d v="2024-03-20T00:00:00"/>
    <s v="Lipitor"/>
    <x v="1"/>
    <n v="19"/>
    <x v="1"/>
    <s v="High"/>
    <n v="3"/>
    <x v="0"/>
    <s v="March"/>
  </r>
  <r>
    <s v="AnGEL MiTChelL"/>
    <n v="36"/>
    <x v="1"/>
    <x v="4"/>
    <x v="4"/>
    <d v="2023-12-11T00:00:00"/>
    <s v="Laura Pena"/>
    <s v="and Martinez Sons"/>
    <x v="1"/>
    <n v="3235.58"/>
    <n v="146"/>
    <x v="2"/>
    <d v="2024-01-08T00:00:00"/>
    <s v="Aspirin"/>
    <x v="0"/>
    <n v="28"/>
    <x v="3"/>
    <s v="Low"/>
    <n v="12"/>
    <x v="4"/>
    <s v="December"/>
  </r>
  <r>
    <s v="DARleNE cohEN"/>
    <n v="80"/>
    <x v="1"/>
    <x v="6"/>
    <x v="5"/>
    <d v="2022-05-04T00:00:00"/>
    <s v="Tracy Wilson"/>
    <s v="Group Anderson"/>
    <x v="1"/>
    <n v="26052.02"/>
    <n v="379"/>
    <x v="2"/>
    <d v="2022-05-05T00:00:00"/>
    <s v="Aspirin"/>
    <x v="2"/>
    <n v="1"/>
    <x v="2"/>
    <s v="Medium"/>
    <n v="5"/>
    <x v="2"/>
    <s v="May"/>
  </r>
  <r>
    <s v="KrIStY ONeILl"/>
    <n v="43"/>
    <x v="0"/>
    <x v="2"/>
    <x v="5"/>
    <d v="2021-12-01T00:00:00"/>
    <s v="Michelle Cox"/>
    <s v="Garcia, and Marshall Maxwell"/>
    <x v="0"/>
    <n v="11095.4"/>
    <n v="288"/>
    <x v="1"/>
    <d v="2021-12-29T00:00:00"/>
    <s v="Paracetamol"/>
    <x v="1"/>
    <n v="28"/>
    <x v="3"/>
    <s v="Medium"/>
    <n v="12"/>
    <x v="5"/>
    <s v="December"/>
  </r>
  <r>
    <s v="sHErrI gArCia"/>
    <n v="47"/>
    <x v="1"/>
    <x v="6"/>
    <x v="4"/>
    <d v="2021-09-21T00:00:00"/>
    <s v="Marie Reed"/>
    <s v="Inc Martinez"/>
    <x v="2"/>
    <n v="10725.83"/>
    <n v="355"/>
    <x v="2"/>
    <d v="2021-10-10T00:00:00"/>
    <s v="Ibuprofen"/>
    <x v="2"/>
    <n v="19"/>
    <x v="3"/>
    <s v="Medium"/>
    <n v="9"/>
    <x v="5"/>
    <s v="September"/>
  </r>
  <r>
    <s v="MIChaEL wEber"/>
    <n v="49"/>
    <x v="1"/>
    <x v="0"/>
    <x v="4"/>
    <d v="2020-03-20T00:00:00"/>
    <s v="Philip Vaughn"/>
    <s v="Mcmahon Ortiz, Owens and"/>
    <x v="3"/>
    <n v="30038.28"/>
    <n v="424"/>
    <x v="2"/>
    <d v="2020-04-09T00:00:00"/>
    <s v="Ibuprofen"/>
    <x v="2"/>
    <n v="20"/>
    <x v="3"/>
    <s v="High"/>
    <n v="3"/>
    <x v="3"/>
    <s v="March"/>
  </r>
  <r>
    <s v="BETh sChwaRTZ"/>
    <n v="58"/>
    <x v="0"/>
    <x v="5"/>
    <x v="3"/>
    <d v="2024-03-29T00:00:00"/>
    <s v="Kyle Montes"/>
    <s v="Williams-Saunders"/>
    <x v="3"/>
    <n v="49446.46"/>
    <n v="108"/>
    <x v="1"/>
    <d v="2024-04-16T00:00:00"/>
    <s v="Lipitor"/>
    <x v="2"/>
    <n v="18"/>
    <x v="1"/>
    <s v="High"/>
    <n v="3"/>
    <x v="0"/>
    <s v="March"/>
  </r>
  <r>
    <s v="cYnTHIA cLARKE"/>
    <n v="40"/>
    <x v="1"/>
    <x v="5"/>
    <x v="1"/>
    <d v="2024-03-12T00:00:00"/>
    <s v="Mr. Ronald Hoover"/>
    <s v="Spencer Ltd"/>
    <x v="4"/>
    <n v="5315.71"/>
    <n v="258"/>
    <x v="1"/>
    <d v="2024-03-25T00:00:00"/>
    <s v="Penicillin"/>
    <x v="2"/>
    <n v="13"/>
    <x v="3"/>
    <s v="Low"/>
    <n v="3"/>
    <x v="0"/>
    <s v="March"/>
  </r>
  <r>
    <s v="MArK GiLES"/>
    <n v="44"/>
    <x v="0"/>
    <x v="2"/>
    <x v="0"/>
    <d v="2022-03-21T00:00:00"/>
    <s v="Daniel Hurley"/>
    <s v="Mathis-Schwartz"/>
    <x v="0"/>
    <n v="13928.28"/>
    <n v="113"/>
    <x v="1"/>
    <d v="2022-04-06T00:00:00"/>
    <s v="Penicillin"/>
    <x v="1"/>
    <n v="16"/>
    <x v="3"/>
    <s v="Medium"/>
    <n v="3"/>
    <x v="2"/>
    <s v="March"/>
  </r>
  <r>
    <s v="TAmara beltRaN"/>
    <n v="38"/>
    <x v="0"/>
    <x v="1"/>
    <x v="2"/>
    <d v="2020-07-23T00:00:00"/>
    <s v="Nicole Young"/>
    <s v="Romero-Ramsey"/>
    <x v="2"/>
    <n v="2744.41"/>
    <n v="162"/>
    <x v="1"/>
    <d v="2020-08-09T00:00:00"/>
    <s v="Ibuprofen"/>
    <x v="2"/>
    <n v="17"/>
    <x v="3"/>
    <s v="Low"/>
    <n v="7"/>
    <x v="3"/>
    <s v="July"/>
  </r>
  <r>
    <s v="JOsEpH guTierReZ"/>
    <n v="82"/>
    <x v="0"/>
    <x v="1"/>
    <x v="1"/>
    <d v="2024-03-10T00:00:00"/>
    <s v="Christopher Mills"/>
    <s v="Avery and Sons"/>
    <x v="4"/>
    <n v="27512.91"/>
    <n v="442"/>
    <x v="1"/>
    <d v="2024-04-07T00:00:00"/>
    <s v="Aspirin"/>
    <x v="0"/>
    <n v="28"/>
    <x v="2"/>
    <s v="Medium"/>
    <n v="3"/>
    <x v="0"/>
    <s v="March"/>
  </r>
  <r>
    <s v="JAmiE jimeNEZ"/>
    <n v="71"/>
    <x v="0"/>
    <x v="2"/>
    <x v="5"/>
    <d v="2020-03-15T00:00:00"/>
    <s v="Richard Webster"/>
    <s v="Ltd Richardson"/>
    <x v="0"/>
    <n v="35854.089999999997"/>
    <n v="172"/>
    <x v="0"/>
    <d v="2020-03-29T00:00:00"/>
    <s v="Lipitor"/>
    <x v="2"/>
    <n v="14"/>
    <x v="2"/>
    <s v="High"/>
    <n v="3"/>
    <x v="3"/>
    <s v="March"/>
  </r>
  <r>
    <s v="chARles MUrPHY"/>
    <n v="42"/>
    <x v="0"/>
    <x v="1"/>
    <x v="2"/>
    <d v="2021-05-10T00:00:00"/>
    <s v="David Soto"/>
    <s v="and Sons Williams"/>
    <x v="4"/>
    <n v="2784.02"/>
    <n v="241"/>
    <x v="0"/>
    <d v="2021-05-16T00:00:00"/>
    <s v="Penicillin"/>
    <x v="2"/>
    <n v="6"/>
    <x v="3"/>
    <s v="Low"/>
    <n v="5"/>
    <x v="5"/>
    <s v="May"/>
  </r>
  <r>
    <s v="CArLOS lOPEz"/>
    <n v="38"/>
    <x v="1"/>
    <x v="3"/>
    <x v="2"/>
    <d v="2020-12-29T00:00:00"/>
    <s v="Michael Paul"/>
    <s v="Carter-Reyes"/>
    <x v="3"/>
    <n v="2547.91"/>
    <n v="322"/>
    <x v="2"/>
    <d v="2021-01-07T00:00:00"/>
    <s v="Penicillin"/>
    <x v="1"/>
    <n v="9"/>
    <x v="3"/>
    <s v="Low"/>
    <n v="12"/>
    <x v="3"/>
    <s v="December"/>
  </r>
  <r>
    <s v="joHnnY IrWIN"/>
    <n v="84"/>
    <x v="0"/>
    <x v="0"/>
    <x v="5"/>
    <d v="2020-03-23T00:00:00"/>
    <s v="Robert Gregory"/>
    <s v="LLC Gray"/>
    <x v="2"/>
    <n v="29992.54"/>
    <n v="456"/>
    <x v="0"/>
    <d v="2020-03-29T00:00:00"/>
    <s v="Aspirin"/>
    <x v="0"/>
    <n v="6"/>
    <x v="2"/>
    <s v="Medium"/>
    <n v="3"/>
    <x v="3"/>
    <s v="March"/>
  </r>
  <r>
    <s v="SCOTT wERNeR"/>
    <n v="64"/>
    <x v="1"/>
    <x v="7"/>
    <x v="4"/>
    <d v="2023-07-13T00:00:00"/>
    <s v="Ashley Lane"/>
    <s v="Gonzalez Anderson Jacobson, and"/>
    <x v="2"/>
    <n v="4018.02"/>
    <n v="415"/>
    <x v="1"/>
    <d v="2023-07-25T00:00:00"/>
    <s v="Ibuprofen"/>
    <x v="2"/>
    <n v="12"/>
    <x v="1"/>
    <s v="Low"/>
    <n v="7"/>
    <x v="4"/>
    <s v="July"/>
  </r>
  <r>
    <s v="TeRRi stEWart"/>
    <n v="57"/>
    <x v="1"/>
    <x v="5"/>
    <x v="3"/>
    <d v="2023-07-20T00:00:00"/>
    <s v="Jennifer Brown"/>
    <s v="Miller Massey Lopez, and"/>
    <x v="2"/>
    <n v="20508.59"/>
    <n v="261"/>
    <x v="0"/>
    <d v="2023-08-02T00:00:00"/>
    <s v="Ibuprofen"/>
    <x v="1"/>
    <n v="13"/>
    <x v="1"/>
    <s v="Medium"/>
    <n v="7"/>
    <x v="4"/>
    <s v="July"/>
  </r>
  <r>
    <s v="dAVId DaviS"/>
    <n v="54"/>
    <x v="0"/>
    <x v="6"/>
    <x v="2"/>
    <d v="2020-02-14T00:00:00"/>
    <s v="Kristen Aguirre"/>
    <s v="Taylor Walsh Hawkins, and"/>
    <x v="0"/>
    <n v="25648.04"/>
    <n v="424"/>
    <x v="0"/>
    <d v="2020-03-01T00:00:00"/>
    <s v="Paracetamol"/>
    <x v="0"/>
    <n v="16"/>
    <x v="3"/>
    <s v="Medium"/>
    <n v="2"/>
    <x v="3"/>
    <s v="February"/>
  </r>
  <r>
    <s v="StEpheN HaRRIS"/>
    <n v="44"/>
    <x v="0"/>
    <x v="0"/>
    <x v="5"/>
    <d v="2023-05-28T00:00:00"/>
    <s v="Kathryn Trevino"/>
    <s v="LLC Brown"/>
    <x v="0"/>
    <n v="19691.419999999998"/>
    <n v="264"/>
    <x v="2"/>
    <d v="2023-06-22T00:00:00"/>
    <s v="Aspirin"/>
    <x v="1"/>
    <n v="25"/>
    <x v="3"/>
    <s v="Medium"/>
    <n v="5"/>
    <x v="4"/>
    <s v="May"/>
  </r>
  <r>
    <s v="briDgeT Adams"/>
    <n v="78"/>
    <x v="1"/>
    <x v="0"/>
    <x v="0"/>
    <d v="2022-06-12T00:00:00"/>
    <s v="Amanda Ramos"/>
    <s v="Nelson-Wong"/>
    <x v="4"/>
    <n v="10311.94"/>
    <n v="211"/>
    <x v="0"/>
    <d v="2022-06-27T00:00:00"/>
    <s v="Penicillin"/>
    <x v="1"/>
    <n v="15"/>
    <x v="2"/>
    <s v="Medium"/>
    <n v="6"/>
    <x v="2"/>
    <s v="June"/>
  </r>
  <r>
    <s v="MIchAEL MortON"/>
    <n v="63"/>
    <x v="1"/>
    <x v="1"/>
    <x v="0"/>
    <d v="2023-12-12T00:00:00"/>
    <s v="Mr. William Decker"/>
    <s v="LLC Berry"/>
    <x v="1"/>
    <n v="17733.95"/>
    <n v="114"/>
    <x v="2"/>
    <d v="2023-12-13T00:00:00"/>
    <s v="Lipitor"/>
    <x v="0"/>
    <n v="1"/>
    <x v="1"/>
    <s v="Medium"/>
    <n v="12"/>
    <x v="4"/>
    <s v="December"/>
  </r>
  <r>
    <s v="MIchElLE LIU"/>
    <n v="66"/>
    <x v="1"/>
    <x v="0"/>
    <x v="4"/>
    <d v="2023-11-06T00:00:00"/>
    <s v="Michael Grant"/>
    <s v="Anderson-Jenkins"/>
    <x v="4"/>
    <n v="10521.47"/>
    <n v="288"/>
    <x v="1"/>
    <d v="2023-11-12T00:00:00"/>
    <s v="Lipitor"/>
    <x v="1"/>
    <n v="6"/>
    <x v="1"/>
    <s v="Medium"/>
    <n v="11"/>
    <x v="4"/>
    <s v="November"/>
  </r>
  <r>
    <s v="ReGina bRIght"/>
    <n v="75"/>
    <x v="0"/>
    <x v="5"/>
    <x v="5"/>
    <d v="2023-05-16T00:00:00"/>
    <s v="Megan Jones"/>
    <s v="Wells and Sons"/>
    <x v="0"/>
    <n v="29910.91"/>
    <n v="400"/>
    <x v="2"/>
    <d v="2023-05-30T00:00:00"/>
    <s v="Penicillin"/>
    <x v="2"/>
    <n v="14"/>
    <x v="2"/>
    <s v="Medium"/>
    <n v="5"/>
    <x v="4"/>
    <s v="May"/>
  </r>
  <r>
    <s v="SaMuel decKEr"/>
    <n v="36"/>
    <x v="0"/>
    <x v="7"/>
    <x v="2"/>
    <d v="2022-10-12T00:00:00"/>
    <s v="Mr. Andrew Hall Jr."/>
    <s v="Allen, Williams and Phillips"/>
    <x v="4"/>
    <n v="26612.01"/>
    <n v="377"/>
    <x v="2"/>
    <d v="2022-10-14T00:00:00"/>
    <s v="Aspirin"/>
    <x v="0"/>
    <n v="2"/>
    <x v="3"/>
    <s v="Medium"/>
    <n v="10"/>
    <x v="2"/>
    <s v="October"/>
  </r>
  <r>
    <s v="pAuL wRiGHt"/>
    <n v="18"/>
    <x v="1"/>
    <x v="4"/>
    <x v="2"/>
    <d v="2023-12-30T00:00:00"/>
    <s v="Joseph Hernandez"/>
    <s v="Gonzalez-Cummings"/>
    <x v="2"/>
    <n v="25858.44"/>
    <n v="324"/>
    <x v="2"/>
    <d v="2024-01-14T00:00:00"/>
    <s v="Penicillin"/>
    <x v="0"/>
    <n v="15"/>
    <x v="0"/>
    <s v="Medium"/>
    <n v="12"/>
    <x v="4"/>
    <s v="December"/>
  </r>
  <r>
    <s v="brIAN OlSOn"/>
    <n v="49"/>
    <x v="0"/>
    <x v="6"/>
    <x v="4"/>
    <d v="2024-02-26T00:00:00"/>
    <s v="Bryan Brock"/>
    <s v="and Richardson Webster Smith,"/>
    <x v="2"/>
    <n v="22069.599999999999"/>
    <n v="142"/>
    <x v="2"/>
    <d v="2024-03-09T00:00:00"/>
    <s v="Paracetamol"/>
    <x v="0"/>
    <n v="12"/>
    <x v="3"/>
    <s v="Medium"/>
    <n v="2"/>
    <x v="0"/>
    <s v="February"/>
  </r>
  <r>
    <s v="TRaCEy harRiSOn"/>
    <n v="22"/>
    <x v="1"/>
    <x v="6"/>
    <x v="3"/>
    <d v="2021-11-07T00:00:00"/>
    <s v="Austin Henderson"/>
    <s v="Hudson-Flores"/>
    <x v="4"/>
    <n v="43117.66"/>
    <n v="458"/>
    <x v="1"/>
    <d v="2021-11-26T00:00:00"/>
    <s v="Penicillin"/>
    <x v="2"/>
    <n v="19"/>
    <x v="0"/>
    <s v="High"/>
    <n v="11"/>
    <x v="5"/>
    <s v="November"/>
  </r>
  <r>
    <s v="ERiKa joHNsoN"/>
    <n v="72"/>
    <x v="1"/>
    <x v="6"/>
    <x v="4"/>
    <d v="2020-02-03T00:00:00"/>
    <s v="Jessica Bruce MD"/>
    <s v="Inc Rios"/>
    <x v="4"/>
    <n v="3718.55"/>
    <n v="304"/>
    <x v="0"/>
    <d v="2020-02-04T00:00:00"/>
    <s v="Aspirin"/>
    <x v="0"/>
    <n v="1"/>
    <x v="2"/>
    <s v="Low"/>
    <n v="2"/>
    <x v="3"/>
    <s v="February"/>
  </r>
  <r>
    <s v="PEteR CuNnInghAm"/>
    <n v="46"/>
    <x v="1"/>
    <x v="6"/>
    <x v="5"/>
    <d v="2019-07-05T00:00:00"/>
    <s v="Kenneth Green"/>
    <s v="PLC Thompson"/>
    <x v="0"/>
    <n v="18788.14"/>
    <n v="267"/>
    <x v="1"/>
    <d v="2019-07-20T00:00:00"/>
    <s v="Lipitor"/>
    <x v="1"/>
    <n v="15"/>
    <x v="3"/>
    <s v="Medium"/>
    <n v="7"/>
    <x v="1"/>
    <s v="July"/>
  </r>
  <r>
    <s v="sIErrA whITe"/>
    <n v="50"/>
    <x v="0"/>
    <x v="7"/>
    <x v="3"/>
    <d v="2021-11-13T00:00:00"/>
    <s v="Shelley Garcia"/>
    <s v="Rosario Wells, Roberts and"/>
    <x v="4"/>
    <n v="39089.870000000003"/>
    <n v="466"/>
    <x v="0"/>
    <d v="2021-11-23T00:00:00"/>
    <s v="Penicillin"/>
    <x v="2"/>
    <n v="10"/>
    <x v="3"/>
    <s v="High"/>
    <n v="11"/>
    <x v="5"/>
    <s v="November"/>
  </r>
  <r>
    <s v="eDdIe rUSsO dVm"/>
    <n v="61"/>
    <x v="0"/>
    <x v="6"/>
    <x v="2"/>
    <d v="2019-08-15T00:00:00"/>
    <s v="Justin Douglas"/>
    <s v="Ramirez-Taylor"/>
    <x v="0"/>
    <n v="47594.47"/>
    <n v="145"/>
    <x v="2"/>
    <d v="2019-09-09T00:00:00"/>
    <s v="Paracetamol"/>
    <x v="2"/>
    <n v="25"/>
    <x v="1"/>
    <s v="High"/>
    <n v="8"/>
    <x v="1"/>
    <s v="August"/>
  </r>
  <r>
    <s v="yvEtte tuRnER"/>
    <n v="40"/>
    <x v="0"/>
    <x v="3"/>
    <x v="3"/>
    <d v="2023-07-19T00:00:00"/>
    <s v="William Faulkner"/>
    <s v="Murphy-Mason"/>
    <x v="2"/>
    <n v="19261.509999999998"/>
    <n v="203"/>
    <x v="1"/>
    <d v="2023-08-14T00:00:00"/>
    <s v="Paracetamol"/>
    <x v="0"/>
    <n v="26"/>
    <x v="3"/>
    <s v="Medium"/>
    <n v="7"/>
    <x v="4"/>
    <s v="July"/>
  </r>
  <r>
    <s v="jameS cHArLes"/>
    <n v="34"/>
    <x v="0"/>
    <x v="2"/>
    <x v="2"/>
    <d v="2023-04-06T00:00:00"/>
    <s v="Stephanie Davis"/>
    <s v="Edwards Johnson, and Burgess"/>
    <x v="1"/>
    <n v="6578.03"/>
    <n v="162"/>
    <x v="1"/>
    <d v="2023-05-06T00:00:00"/>
    <s v="Ibuprofen"/>
    <x v="1"/>
    <n v="30"/>
    <x v="0"/>
    <s v="Low"/>
    <n v="4"/>
    <x v="4"/>
    <s v="April"/>
  </r>
  <r>
    <s v="ALexis ALlEn"/>
    <n v="71"/>
    <x v="1"/>
    <x v="4"/>
    <x v="5"/>
    <d v="2019-10-08T00:00:00"/>
    <s v="Ronald Parker"/>
    <s v="LLC Spears"/>
    <x v="0"/>
    <n v="38435.449999999997"/>
    <n v="340"/>
    <x v="2"/>
    <d v="2019-10-28T00:00:00"/>
    <s v="Penicillin"/>
    <x v="2"/>
    <n v="20"/>
    <x v="2"/>
    <s v="High"/>
    <n v="10"/>
    <x v="1"/>
    <s v="October"/>
  </r>
  <r>
    <s v="stephAnIe martIN"/>
    <n v="61"/>
    <x v="0"/>
    <x v="1"/>
    <x v="1"/>
    <d v="2020-08-10T00:00:00"/>
    <s v="Kevin Tucker"/>
    <s v="Perez-Smith"/>
    <x v="2"/>
    <n v="29810.05"/>
    <n v="346"/>
    <x v="1"/>
    <d v="2020-09-06T00:00:00"/>
    <s v="Penicillin"/>
    <x v="0"/>
    <n v="27"/>
    <x v="1"/>
    <s v="Medium"/>
    <n v="8"/>
    <x v="3"/>
    <s v="August"/>
  </r>
  <r>
    <s v="SHelBy AndeRson"/>
    <n v="24"/>
    <x v="0"/>
    <x v="1"/>
    <x v="3"/>
    <d v="2019-09-26T00:00:00"/>
    <s v="Katrina Allen"/>
    <s v="and Sons Mcbride"/>
    <x v="0"/>
    <n v="4808.82"/>
    <n v="415"/>
    <x v="1"/>
    <d v="2019-10-14T00:00:00"/>
    <s v="Ibuprofen"/>
    <x v="0"/>
    <n v="18"/>
    <x v="0"/>
    <s v="Low"/>
    <n v="9"/>
    <x v="1"/>
    <s v="September"/>
  </r>
  <r>
    <s v="aBIGail FarmEr"/>
    <n v="28"/>
    <x v="0"/>
    <x v="3"/>
    <x v="0"/>
    <d v="2021-02-11T00:00:00"/>
    <s v="Alicia Lopez"/>
    <s v="Sons and Chapman"/>
    <x v="4"/>
    <n v="38365.870000000003"/>
    <n v="183"/>
    <x v="0"/>
    <d v="2021-02-19T00:00:00"/>
    <s v="Lipitor"/>
    <x v="2"/>
    <n v="8"/>
    <x v="0"/>
    <s v="High"/>
    <n v="2"/>
    <x v="5"/>
    <s v="February"/>
  </r>
  <r>
    <s v="chrIStINa MiLLER"/>
    <n v="21"/>
    <x v="1"/>
    <x v="3"/>
    <x v="5"/>
    <d v="2019-09-05T00:00:00"/>
    <s v="Stephen Lopez"/>
    <s v="Cole-Davila"/>
    <x v="0"/>
    <n v="45540.1"/>
    <n v="394"/>
    <x v="2"/>
    <d v="2019-09-29T00:00:00"/>
    <s v="Lipitor"/>
    <x v="1"/>
    <n v="24"/>
    <x v="0"/>
    <s v="High"/>
    <n v="9"/>
    <x v="1"/>
    <s v="September"/>
  </r>
  <r>
    <s v="MAtTHew wYAtt"/>
    <n v="40"/>
    <x v="1"/>
    <x v="6"/>
    <x v="3"/>
    <d v="2021-03-01T00:00:00"/>
    <s v="Alexandra Sims"/>
    <s v="Pearson, and Lynch Oconnor"/>
    <x v="4"/>
    <n v="31444.09"/>
    <n v="124"/>
    <x v="0"/>
    <d v="2021-03-20T00:00:00"/>
    <s v="Penicillin"/>
    <x v="2"/>
    <n v="19"/>
    <x v="3"/>
    <s v="High"/>
    <n v="3"/>
    <x v="5"/>
    <s v="March"/>
  </r>
  <r>
    <s v="dAvID MOnTOYa"/>
    <n v="57"/>
    <x v="0"/>
    <x v="2"/>
    <x v="0"/>
    <d v="2024-04-19T00:00:00"/>
    <s v="Andrea Lee"/>
    <s v="Rivera-Peck"/>
    <x v="1"/>
    <n v="37194.26"/>
    <n v="278"/>
    <x v="0"/>
    <d v="2024-05-14T00:00:00"/>
    <s v="Ibuprofen"/>
    <x v="2"/>
    <n v="25"/>
    <x v="1"/>
    <s v="High"/>
    <n v="4"/>
    <x v="0"/>
    <s v="April"/>
  </r>
  <r>
    <s v="eRic ParK"/>
    <n v="47"/>
    <x v="1"/>
    <x v="4"/>
    <x v="0"/>
    <d v="2023-04-27T00:00:00"/>
    <s v="Olivia Anderson"/>
    <s v="Hess-White"/>
    <x v="0"/>
    <n v="12422.76"/>
    <n v="355"/>
    <x v="2"/>
    <d v="2023-05-03T00:00:00"/>
    <s v="Lipitor"/>
    <x v="0"/>
    <n v="6"/>
    <x v="3"/>
    <s v="Medium"/>
    <n v="4"/>
    <x v="4"/>
    <s v="April"/>
  </r>
  <r>
    <s v="lOrI trEVinO"/>
    <n v="59"/>
    <x v="0"/>
    <x v="3"/>
    <x v="0"/>
    <d v="2022-07-06T00:00:00"/>
    <s v="Michelle Barnett"/>
    <s v="Fox and Moreno Williams,"/>
    <x v="2"/>
    <n v="8024.41"/>
    <n v="451"/>
    <x v="2"/>
    <d v="2022-07-26T00:00:00"/>
    <s v="Aspirin"/>
    <x v="1"/>
    <n v="20"/>
    <x v="1"/>
    <s v="Low"/>
    <n v="7"/>
    <x v="2"/>
    <s v="July"/>
  </r>
  <r>
    <s v="dWaYNe CASTIllO"/>
    <n v="33"/>
    <x v="1"/>
    <x v="7"/>
    <x v="5"/>
    <d v="2020-10-31T00:00:00"/>
    <s v="Johnathan Mcmahon"/>
    <s v="Johnson-Estrada"/>
    <x v="0"/>
    <n v="13034.08"/>
    <n v="300"/>
    <x v="0"/>
    <d v="2020-11-18T00:00:00"/>
    <s v="Penicillin"/>
    <x v="0"/>
    <n v="18"/>
    <x v="0"/>
    <s v="Medium"/>
    <n v="10"/>
    <x v="3"/>
    <s v="October"/>
  </r>
  <r>
    <s v="kRIStInE mcCALl"/>
    <n v="58"/>
    <x v="1"/>
    <x v="0"/>
    <x v="0"/>
    <d v="2023-09-08T00:00:00"/>
    <s v="Deborah Lawson"/>
    <s v="Rivera-Mosley"/>
    <x v="4"/>
    <n v="37903.29"/>
    <n v="421"/>
    <x v="2"/>
    <d v="2023-09-22T00:00:00"/>
    <s v="Lipitor"/>
    <x v="0"/>
    <n v="14"/>
    <x v="1"/>
    <s v="High"/>
    <n v="9"/>
    <x v="4"/>
    <s v="September"/>
  </r>
  <r>
    <s v="jOsepH SelLeRs"/>
    <n v="39"/>
    <x v="1"/>
    <x v="7"/>
    <x v="0"/>
    <d v="2022-11-20T00:00:00"/>
    <s v="Diana Boyd"/>
    <s v="Diaz Smith Johnson, and"/>
    <x v="0"/>
    <n v="45913.17"/>
    <n v="398"/>
    <x v="1"/>
    <d v="2022-12-19T00:00:00"/>
    <s v="Paracetamol"/>
    <x v="2"/>
    <n v="29"/>
    <x v="3"/>
    <s v="High"/>
    <n v="11"/>
    <x v="2"/>
    <s v="November"/>
  </r>
  <r>
    <s v="dR. DONalD AndersON"/>
    <n v="30"/>
    <x v="0"/>
    <x v="7"/>
    <x v="5"/>
    <d v="2020-07-04T00:00:00"/>
    <s v="Crystal Ritter"/>
    <s v="Harris-Ingram"/>
    <x v="3"/>
    <n v="30468.26"/>
    <n v="378"/>
    <x v="1"/>
    <d v="2020-08-02T00:00:00"/>
    <s v="Lipitor"/>
    <x v="0"/>
    <n v="29"/>
    <x v="0"/>
    <s v="High"/>
    <n v="7"/>
    <x v="3"/>
    <s v="July"/>
  </r>
  <r>
    <s v="VicToRiA WiLLiAMS"/>
    <n v="27"/>
    <x v="0"/>
    <x v="6"/>
    <x v="3"/>
    <d v="2023-06-24T00:00:00"/>
    <s v="Carla Mcneil"/>
    <s v="and Esparza Sons"/>
    <x v="0"/>
    <n v="50202.21"/>
    <n v="198"/>
    <x v="0"/>
    <d v="2023-07-13T00:00:00"/>
    <s v="Aspirin"/>
    <x v="2"/>
    <n v="19"/>
    <x v="0"/>
    <s v="High"/>
    <n v="6"/>
    <x v="4"/>
    <s v="June"/>
  </r>
  <r>
    <s v="anna jONEs"/>
    <n v="39"/>
    <x v="1"/>
    <x v="7"/>
    <x v="4"/>
    <d v="2020-10-06T00:00:00"/>
    <s v="Peggy Nunez"/>
    <s v="Hunt Sons and"/>
    <x v="4"/>
    <n v="2104.38"/>
    <n v="260"/>
    <x v="2"/>
    <d v="2020-10-14T00:00:00"/>
    <s v="Penicillin"/>
    <x v="0"/>
    <n v="8"/>
    <x v="3"/>
    <s v="Low"/>
    <n v="10"/>
    <x v="3"/>
    <s v="October"/>
  </r>
  <r>
    <s v="mR. RobeRT DaVIS"/>
    <n v="76"/>
    <x v="1"/>
    <x v="6"/>
    <x v="0"/>
    <d v="2023-03-16T00:00:00"/>
    <s v="Kenneth White"/>
    <s v="LLC Hernandez"/>
    <x v="2"/>
    <n v="43206.22"/>
    <n v="441"/>
    <x v="1"/>
    <d v="2023-04-02T00:00:00"/>
    <s v="Aspirin"/>
    <x v="1"/>
    <n v="17"/>
    <x v="2"/>
    <s v="High"/>
    <n v="3"/>
    <x v="4"/>
    <s v="March"/>
  </r>
  <r>
    <s v="jeFfrEY HALl"/>
    <n v="62"/>
    <x v="0"/>
    <x v="7"/>
    <x v="5"/>
    <d v="2019-09-16T00:00:00"/>
    <s v="Leonard Alvarez"/>
    <s v="Perez-Smith"/>
    <x v="0"/>
    <n v="10622.28"/>
    <n v="199"/>
    <x v="0"/>
    <d v="2019-09-21T00:00:00"/>
    <s v="Lipitor"/>
    <x v="2"/>
    <n v="5"/>
    <x v="1"/>
    <s v="Medium"/>
    <n v="9"/>
    <x v="1"/>
    <s v="September"/>
  </r>
  <r>
    <s v="tERrY GRAvEs"/>
    <n v="71"/>
    <x v="0"/>
    <x v="7"/>
    <x v="3"/>
    <d v="2021-04-10T00:00:00"/>
    <s v="Henry Rogers"/>
    <s v="Foster Lamb, Graham and"/>
    <x v="1"/>
    <n v="10659.61"/>
    <n v="170"/>
    <x v="2"/>
    <d v="2021-04-18T00:00:00"/>
    <s v="Ibuprofen"/>
    <x v="2"/>
    <n v="8"/>
    <x v="2"/>
    <s v="Medium"/>
    <n v="4"/>
    <x v="5"/>
    <s v="April"/>
  </r>
  <r>
    <s v="JErome MorAles"/>
    <n v="67"/>
    <x v="0"/>
    <x v="0"/>
    <x v="2"/>
    <d v="2019-07-21T00:00:00"/>
    <s v="George Smith"/>
    <s v="Sanchez LLC"/>
    <x v="4"/>
    <n v="10919.11"/>
    <n v="288"/>
    <x v="2"/>
    <d v="2019-08-17T00:00:00"/>
    <s v="Penicillin"/>
    <x v="0"/>
    <n v="27"/>
    <x v="1"/>
    <s v="Medium"/>
    <n v="7"/>
    <x v="1"/>
    <s v="July"/>
  </r>
  <r>
    <s v="kEith ROdRiGuez"/>
    <n v="34"/>
    <x v="1"/>
    <x v="1"/>
    <x v="0"/>
    <d v="2021-12-14T00:00:00"/>
    <s v="Anthony Anderson"/>
    <s v="Fox-Anthony"/>
    <x v="1"/>
    <n v="8407.49"/>
    <n v="425"/>
    <x v="0"/>
    <d v="2021-12-21T00:00:00"/>
    <s v="Ibuprofen"/>
    <x v="2"/>
    <n v="7"/>
    <x v="0"/>
    <s v="Low"/>
    <n v="12"/>
    <x v="5"/>
    <s v="December"/>
  </r>
  <r>
    <s v="tAmARA davENpOrT"/>
    <n v="31"/>
    <x v="0"/>
    <x v="7"/>
    <x v="0"/>
    <d v="2023-09-19T00:00:00"/>
    <s v="Meghan Bailey"/>
    <s v="Fuentes Knight, Sandoval and"/>
    <x v="2"/>
    <n v="32926.230000000003"/>
    <n v="459"/>
    <x v="1"/>
    <d v="2023-10-16T00:00:00"/>
    <s v="Lipitor"/>
    <x v="1"/>
    <n v="27"/>
    <x v="0"/>
    <s v="High"/>
    <n v="9"/>
    <x v="4"/>
    <s v="September"/>
  </r>
  <r>
    <s v="JOnatHAN SiMON"/>
    <n v="25"/>
    <x v="0"/>
    <x v="2"/>
    <x v="0"/>
    <d v="2024-01-27T00:00:00"/>
    <s v="Jason Phillips"/>
    <s v="Hudson-Williams"/>
    <x v="2"/>
    <n v="48004.97"/>
    <n v="416"/>
    <x v="1"/>
    <d v="2024-02-26T00:00:00"/>
    <s v="Paracetamol"/>
    <x v="0"/>
    <n v="30"/>
    <x v="0"/>
    <s v="High"/>
    <n v="1"/>
    <x v="0"/>
    <s v="January"/>
  </r>
  <r>
    <s v="HolLY ARMsTrOnG"/>
    <n v="33"/>
    <x v="1"/>
    <x v="7"/>
    <x v="5"/>
    <d v="2020-04-03T00:00:00"/>
    <s v="Bailey Ibarra"/>
    <s v="Lowery, Dunn Anderson and"/>
    <x v="4"/>
    <n v="28452.78"/>
    <n v="180"/>
    <x v="2"/>
    <d v="2020-05-03T00:00:00"/>
    <s v="Aspirin"/>
    <x v="1"/>
    <n v="30"/>
    <x v="0"/>
    <s v="Medium"/>
    <n v="4"/>
    <x v="3"/>
    <s v="April"/>
  </r>
  <r>
    <s v="rONaLd bAnKs"/>
    <n v="61"/>
    <x v="1"/>
    <x v="4"/>
    <x v="4"/>
    <d v="2020-04-16T00:00:00"/>
    <s v="Kelsey Simpson"/>
    <s v="Mullen-Hernandez"/>
    <x v="1"/>
    <n v="20651.61"/>
    <n v="470"/>
    <x v="0"/>
    <d v="2020-04-22T00:00:00"/>
    <s v="Aspirin"/>
    <x v="2"/>
    <n v="6"/>
    <x v="1"/>
    <s v="Medium"/>
    <n v="4"/>
    <x v="3"/>
    <s v="April"/>
  </r>
  <r>
    <s v="rYAn BRadforD DDS"/>
    <n v="42"/>
    <x v="1"/>
    <x v="3"/>
    <x v="4"/>
    <d v="2019-08-23T00:00:00"/>
    <s v="Sarah Guerra"/>
    <s v="Herman, Liu and Hill"/>
    <x v="4"/>
    <n v="31822.73"/>
    <n v="370"/>
    <x v="1"/>
    <d v="2019-09-05T00:00:00"/>
    <s v="Lipitor"/>
    <x v="2"/>
    <n v="13"/>
    <x v="3"/>
    <s v="High"/>
    <n v="8"/>
    <x v="1"/>
    <s v="August"/>
  </r>
  <r>
    <s v="jaNICE hAlL"/>
    <n v="44"/>
    <x v="0"/>
    <x v="5"/>
    <x v="2"/>
    <d v="2021-07-01T00:00:00"/>
    <s v="Tony Matthews"/>
    <s v="Davis White, Flores and"/>
    <x v="3"/>
    <n v="21856.74"/>
    <n v="482"/>
    <x v="2"/>
    <d v="2021-07-23T00:00:00"/>
    <s v="Paracetamol"/>
    <x v="1"/>
    <n v="22"/>
    <x v="3"/>
    <s v="Medium"/>
    <n v="7"/>
    <x v="5"/>
    <s v="July"/>
  </r>
  <r>
    <s v="JaCOB mcDOnaLD"/>
    <n v="18"/>
    <x v="1"/>
    <x v="6"/>
    <x v="1"/>
    <d v="2022-08-21T00:00:00"/>
    <s v="David Gonzalez"/>
    <s v="Williams-Jones"/>
    <x v="1"/>
    <n v="45326.91"/>
    <n v="260"/>
    <x v="1"/>
    <d v="2022-09-04T00:00:00"/>
    <s v="Ibuprofen"/>
    <x v="2"/>
    <n v="14"/>
    <x v="0"/>
    <s v="High"/>
    <n v="8"/>
    <x v="2"/>
    <s v="August"/>
  </r>
  <r>
    <s v="GlENN maSSeY"/>
    <n v="51"/>
    <x v="0"/>
    <x v="2"/>
    <x v="0"/>
    <d v="2020-08-06T00:00:00"/>
    <s v="Michael Villanueva"/>
    <s v="Inc Holloway"/>
    <x v="3"/>
    <n v="25152.29"/>
    <n v="103"/>
    <x v="1"/>
    <d v="2020-08-26T00:00:00"/>
    <s v="Lipitor"/>
    <x v="2"/>
    <n v="20"/>
    <x v="3"/>
    <s v="Medium"/>
    <n v="8"/>
    <x v="3"/>
    <s v="August"/>
  </r>
  <r>
    <s v="SAndrA mURray"/>
    <n v="26"/>
    <x v="1"/>
    <x v="4"/>
    <x v="2"/>
    <d v="2022-01-16T00:00:00"/>
    <s v="Alan Cain"/>
    <s v="Phillips Jones and Wu,"/>
    <x v="4"/>
    <n v="37544.800000000003"/>
    <n v="430"/>
    <x v="2"/>
    <d v="2022-02-10T00:00:00"/>
    <s v="Lipitor"/>
    <x v="1"/>
    <n v="25"/>
    <x v="0"/>
    <s v="High"/>
    <n v="1"/>
    <x v="2"/>
    <s v="January"/>
  </r>
  <r>
    <s v="maRK wiLLIaMs"/>
    <n v="44"/>
    <x v="0"/>
    <x v="7"/>
    <x v="2"/>
    <d v="2021-08-02T00:00:00"/>
    <s v="Melissa Turner"/>
    <s v="Wilson and Lopez, Molina"/>
    <x v="3"/>
    <n v="35487.51"/>
    <n v="190"/>
    <x v="0"/>
    <d v="2021-08-04T00:00:00"/>
    <s v="Penicillin"/>
    <x v="2"/>
    <n v="2"/>
    <x v="3"/>
    <s v="High"/>
    <n v="8"/>
    <x v="5"/>
    <s v="August"/>
  </r>
  <r>
    <s v="stEPHAnie rEid dvm"/>
    <n v="56"/>
    <x v="1"/>
    <x v="4"/>
    <x v="1"/>
    <d v="2020-03-17T00:00:00"/>
    <s v="Alexander Robles"/>
    <s v="Jones-Garrett"/>
    <x v="0"/>
    <n v="2076.33"/>
    <n v="265"/>
    <x v="1"/>
    <d v="2020-04-13T00:00:00"/>
    <s v="Aspirin"/>
    <x v="1"/>
    <n v="27"/>
    <x v="1"/>
    <s v="Low"/>
    <n v="3"/>
    <x v="3"/>
    <s v="March"/>
  </r>
  <r>
    <s v="sEth BArTleTt ii"/>
    <n v="24"/>
    <x v="0"/>
    <x v="4"/>
    <x v="1"/>
    <d v="2020-07-23T00:00:00"/>
    <s v="Joseph Carr"/>
    <s v="and Brown, James Green"/>
    <x v="1"/>
    <n v="35312.300000000003"/>
    <n v="314"/>
    <x v="1"/>
    <d v="2020-08-03T00:00:00"/>
    <s v="Penicillin"/>
    <x v="0"/>
    <n v="11"/>
    <x v="0"/>
    <s v="High"/>
    <n v="7"/>
    <x v="3"/>
    <s v="July"/>
  </r>
  <r>
    <s v="jerEmY rIcH"/>
    <n v="39"/>
    <x v="0"/>
    <x v="7"/>
    <x v="4"/>
    <d v="2022-07-22T00:00:00"/>
    <s v="David Poole"/>
    <s v="Meadows and Nelson, Owen"/>
    <x v="4"/>
    <n v="13869.79"/>
    <n v="314"/>
    <x v="0"/>
    <d v="2022-07-24T00:00:00"/>
    <s v="Aspirin"/>
    <x v="2"/>
    <n v="2"/>
    <x v="3"/>
    <s v="Medium"/>
    <n v="7"/>
    <x v="2"/>
    <s v="July"/>
  </r>
  <r>
    <s v="eLIZAbeTh MiLLEr"/>
    <n v="53"/>
    <x v="0"/>
    <x v="7"/>
    <x v="4"/>
    <d v="2020-08-08T00:00:00"/>
    <s v="Cynthia Thomas"/>
    <s v="Sons and Gallegos"/>
    <x v="2"/>
    <n v="36107.4"/>
    <n v="363"/>
    <x v="1"/>
    <d v="2020-08-21T00:00:00"/>
    <s v="Ibuprofen"/>
    <x v="0"/>
    <n v="13"/>
    <x v="3"/>
    <s v="High"/>
    <n v="8"/>
    <x v="3"/>
    <s v="August"/>
  </r>
  <r>
    <s v="ErIn MaRtiN"/>
    <n v="21"/>
    <x v="0"/>
    <x v="7"/>
    <x v="3"/>
    <d v="2023-09-29T00:00:00"/>
    <s v="Rebecca Reed"/>
    <s v="Davis Group"/>
    <x v="0"/>
    <n v="41208.17"/>
    <n v="359"/>
    <x v="1"/>
    <d v="2023-10-06T00:00:00"/>
    <s v="Paracetamol"/>
    <x v="0"/>
    <n v="7"/>
    <x v="0"/>
    <s v="High"/>
    <n v="9"/>
    <x v="4"/>
    <s v="September"/>
  </r>
  <r>
    <s v="FRaNK HESS"/>
    <n v="82"/>
    <x v="1"/>
    <x v="0"/>
    <x v="0"/>
    <d v="2022-01-05T00:00:00"/>
    <s v="Steven Boyle"/>
    <s v="Herrera Group"/>
    <x v="2"/>
    <n v="14292.07"/>
    <n v="420"/>
    <x v="0"/>
    <d v="2022-01-08T00:00:00"/>
    <s v="Ibuprofen"/>
    <x v="2"/>
    <n v="3"/>
    <x v="2"/>
    <s v="Medium"/>
    <n v="1"/>
    <x v="2"/>
    <s v="January"/>
  </r>
  <r>
    <s v="pAul Rogers"/>
    <n v="61"/>
    <x v="1"/>
    <x v="5"/>
    <x v="0"/>
    <d v="2020-06-22T00:00:00"/>
    <s v="Bryan Wu"/>
    <s v="Juarez-Weiss"/>
    <x v="2"/>
    <n v="17722.96"/>
    <n v="221"/>
    <x v="1"/>
    <d v="2020-07-20T00:00:00"/>
    <s v="Ibuprofen"/>
    <x v="2"/>
    <n v="28"/>
    <x v="1"/>
    <s v="Medium"/>
    <n v="6"/>
    <x v="3"/>
    <s v="June"/>
  </r>
  <r>
    <s v="JEnNiFEr edWArDS"/>
    <n v="59"/>
    <x v="1"/>
    <x v="5"/>
    <x v="1"/>
    <d v="2019-10-26T00:00:00"/>
    <s v="James Quinn"/>
    <s v="Dawson-Jones"/>
    <x v="2"/>
    <n v="21125.32"/>
    <n v="264"/>
    <x v="2"/>
    <d v="2019-10-29T00:00:00"/>
    <s v="Lipitor"/>
    <x v="0"/>
    <n v="3"/>
    <x v="1"/>
    <s v="Medium"/>
    <n v="10"/>
    <x v="1"/>
    <s v="October"/>
  </r>
  <r>
    <s v="BRian halL"/>
    <n v="51"/>
    <x v="1"/>
    <x v="3"/>
    <x v="5"/>
    <d v="2024-02-21T00:00:00"/>
    <s v="Ryan Rich"/>
    <s v="Hickman Group"/>
    <x v="3"/>
    <n v="5164.55"/>
    <n v="470"/>
    <x v="0"/>
    <d v="2024-03-19T00:00:00"/>
    <s v="Paracetamol"/>
    <x v="2"/>
    <n v="27"/>
    <x v="3"/>
    <s v="Low"/>
    <n v="2"/>
    <x v="0"/>
    <s v="February"/>
  </r>
  <r>
    <s v="kIMbERly WILLIamS"/>
    <n v="43"/>
    <x v="0"/>
    <x v="4"/>
    <x v="4"/>
    <d v="2023-01-07T00:00:00"/>
    <s v="James Robinson"/>
    <s v="Herman-Ewing"/>
    <x v="3"/>
    <n v="2162.61"/>
    <n v="256"/>
    <x v="1"/>
    <d v="2023-01-08T00:00:00"/>
    <s v="Ibuprofen"/>
    <x v="2"/>
    <n v="1"/>
    <x v="3"/>
    <s v="Low"/>
    <n v="1"/>
    <x v="4"/>
    <s v="January"/>
  </r>
  <r>
    <s v="IsAaC MENdeZ"/>
    <n v="79"/>
    <x v="0"/>
    <x v="6"/>
    <x v="0"/>
    <d v="2023-09-21T00:00:00"/>
    <s v="Edwin Sparks"/>
    <s v="Gutierrez Inc"/>
    <x v="0"/>
    <n v="2675.23"/>
    <n v="389"/>
    <x v="1"/>
    <d v="2023-10-01T00:00:00"/>
    <s v="Penicillin"/>
    <x v="0"/>
    <n v="10"/>
    <x v="2"/>
    <s v="Low"/>
    <n v="9"/>
    <x v="4"/>
    <s v="September"/>
  </r>
  <r>
    <s v="SarAh SmitH"/>
    <n v="79"/>
    <x v="1"/>
    <x v="0"/>
    <x v="5"/>
    <d v="2022-12-07T00:00:00"/>
    <s v="Tyler Parsons"/>
    <s v="Hurley-Gill"/>
    <x v="2"/>
    <n v="44918.32"/>
    <n v="217"/>
    <x v="1"/>
    <d v="2022-12-21T00:00:00"/>
    <s v="Lipitor"/>
    <x v="2"/>
    <n v="14"/>
    <x v="2"/>
    <s v="High"/>
    <n v="12"/>
    <x v="2"/>
    <s v="December"/>
  </r>
  <r>
    <s v="dAniEl Wolf"/>
    <n v="49"/>
    <x v="0"/>
    <x v="3"/>
    <x v="1"/>
    <d v="2022-12-13T00:00:00"/>
    <s v="Kirk Rich II"/>
    <s v="Dillon PLC"/>
    <x v="1"/>
    <n v="6327.8"/>
    <n v="371"/>
    <x v="1"/>
    <d v="2022-12-28T00:00:00"/>
    <s v="Aspirin"/>
    <x v="2"/>
    <n v="15"/>
    <x v="3"/>
    <s v="Low"/>
    <n v="12"/>
    <x v="2"/>
    <s v="December"/>
  </r>
  <r>
    <s v="RobeRT RoSS"/>
    <n v="68"/>
    <x v="1"/>
    <x v="7"/>
    <x v="4"/>
    <d v="2022-11-16T00:00:00"/>
    <s v="Andrew Neal"/>
    <s v="Murphy, and Garcia Jones"/>
    <x v="0"/>
    <n v="29526.32"/>
    <n v="384"/>
    <x v="2"/>
    <d v="2022-11-21T00:00:00"/>
    <s v="Aspirin"/>
    <x v="1"/>
    <n v="5"/>
    <x v="1"/>
    <s v="Medium"/>
    <n v="11"/>
    <x v="2"/>
    <s v="November"/>
  </r>
  <r>
    <s v="DOuglAS fosTEr"/>
    <n v="69"/>
    <x v="1"/>
    <x v="3"/>
    <x v="3"/>
    <d v="2019-06-19T00:00:00"/>
    <s v="Susan Silva"/>
    <s v="Ramsey-Thomas"/>
    <x v="1"/>
    <n v="38989.53"/>
    <n v="165"/>
    <x v="2"/>
    <d v="2019-07-17T00:00:00"/>
    <s v="Penicillin"/>
    <x v="1"/>
    <n v="28"/>
    <x v="1"/>
    <s v="High"/>
    <n v="6"/>
    <x v="1"/>
    <s v="June"/>
  </r>
  <r>
    <s v="LOuIS LoWERY"/>
    <n v="49"/>
    <x v="1"/>
    <x v="6"/>
    <x v="1"/>
    <d v="2023-01-29T00:00:00"/>
    <s v="Lynn York"/>
    <s v="Miller and Sons"/>
    <x v="0"/>
    <n v="33395.1"/>
    <n v="490"/>
    <x v="1"/>
    <d v="2023-02-18T00:00:00"/>
    <s v="Ibuprofen"/>
    <x v="0"/>
    <n v="20"/>
    <x v="3"/>
    <s v="High"/>
    <n v="1"/>
    <x v="4"/>
    <s v="January"/>
  </r>
  <r>
    <s v="JESsICA Tyler"/>
    <n v="27"/>
    <x v="1"/>
    <x v="7"/>
    <x v="0"/>
    <d v="2023-11-30T00:00:00"/>
    <s v="Ellen Bush"/>
    <s v="Chung Herrera, and Pollard"/>
    <x v="4"/>
    <n v="20258.78"/>
    <n v="491"/>
    <x v="2"/>
    <d v="2023-12-12T00:00:00"/>
    <s v="Paracetamol"/>
    <x v="2"/>
    <n v="12"/>
    <x v="0"/>
    <s v="Medium"/>
    <n v="11"/>
    <x v="4"/>
    <s v="November"/>
  </r>
  <r>
    <s v="wiLLiAm davIES"/>
    <n v="73"/>
    <x v="0"/>
    <x v="1"/>
    <x v="1"/>
    <d v="2021-03-26T00:00:00"/>
    <s v="Anthony Smith"/>
    <s v="and Hernandez Waters, Cruz"/>
    <x v="1"/>
    <n v="43050.83"/>
    <n v="340"/>
    <x v="0"/>
    <d v="2021-04-20T00:00:00"/>
    <s v="Penicillin"/>
    <x v="2"/>
    <n v="25"/>
    <x v="2"/>
    <s v="High"/>
    <n v="3"/>
    <x v="5"/>
    <s v="March"/>
  </r>
  <r>
    <s v="JeSSICA rEyeS"/>
    <n v="42"/>
    <x v="1"/>
    <x v="4"/>
    <x v="2"/>
    <d v="2021-08-21T00:00:00"/>
    <s v="Mary Schwartz"/>
    <s v="Schmidt Sons and"/>
    <x v="4"/>
    <n v="37284.050000000003"/>
    <n v="283"/>
    <x v="2"/>
    <d v="2021-09-03T00:00:00"/>
    <s v="Paracetamol"/>
    <x v="2"/>
    <n v="13"/>
    <x v="3"/>
    <s v="High"/>
    <n v="8"/>
    <x v="5"/>
    <s v="August"/>
  </r>
  <r>
    <s v="dAnIEl JoneS"/>
    <n v="59"/>
    <x v="1"/>
    <x v="7"/>
    <x v="0"/>
    <d v="2024-01-03T00:00:00"/>
    <s v="Victoria Osborne"/>
    <s v="and Carroll Orr Kelly,"/>
    <x v="0"/>
    <n v="42434.78"/>
    <n v="494"/>
    <x v="0"/>
    <d v="2024-01-25T00:00:00"/>
    <s v="Lipitor"/>
    <x v="2"/>
    <n v="22"/>
    <x v="1"/>
    <s v="High"/>
    <n v="1"/>
    <x v="0"/>
    <s v="January"/>
  </r>
  <r>
    <s v="PAUla moRaLes"/>
    <n v="20"/>
    <x v="1"/>
    <x v="1"/>
    <x v="4"/>
    <d v="2024-03-23T00:00:00"/>
    <s v="Regina Glass"/>
    <s v="Smith and Rose Rivera,"/>
    <x v="3"/>
    <n v="38570.129999999997"/>
    <n v="487"/>
    <x v="1"/>
    <d v="2024-04-21T00:00:00"/>
    <s v="Penicillin"/>
    <x v="2"/>
    <n v="29"/>
    <x v="0"/>
    <s v="High"/>
    <n v="3"/>
    <x v="0"/>
    <s v="March"/>
  </r>
  <r>
    <s v="DAvId spEArS"/>
    <n v="61"/>
    <x v="1"/>
    <x v="1"/>
    <x v="0"/>
    <d v="2022-12-03T00:00:00"/>
    <s v="Craig Ray"/>
    <s v="Odonnell-Watts"/>
    <x v="1"/>
    <n v="22108.97"/>
    <n v="334"/>
    <x v="1"/>
    <d v="2022-12-10T00:00:00"/>
    <s v="Paracetamol"/>
    <x v="1"/>
    <n v="7"/>
    <x v="1"/>
    <s v="Medium"/>
    <n v="12"/>
    <x v="2"/>
    <s v="December"/>
  </r>
  <r>
    <s v="ScoTT bErRY"/>
    <n v="50"/>
    <x v="0"/>
    <x v="6"/>
    <x v="3"/>
    <d v="2021-09-25T00:00:00"/>
    <s v="Carlos Steele"/>
    <s v="Inc Roberts"/>
    <x v="3"/>
    <n v="40783.15"/>
    <n v="366"/>
    <x v="0"/>
    <d v="2021-10-23T00:00:00"/>
    <s v="Penicillin"/>
    <x v="1"/>
    <n v="28"/>
    <x v="3"/>
    <s v="High"/>
    <n v="9"/>
    <x v="5"/>
    <s v="September"/>
  </r>
  <r>
    <s v="dAltON NGuYEN"/>
    <n v="29"/>
    <x v="1"/>
    <x v="0"/>
    <x v="3"/>
    <d v="2020-08-23T00:00:00"/>
    <s v="Michael Pugh"/>
    <s v="LLC Chaney"/>
    <x v="4"/>
    <n v="28296.18"/>
    <n v="490"/>
    <x v="1"/>
    <d v="2020-08-26T00:00:00"/>
    <s v="Ibuprofen"/>
    <x v="0"/>
    <n v="3"/>
    <x v="0"/>
    <s v="Medium"/>
    <n v="8"/>
    <x v="3"/>
    <s v="August"/>
  </r>
  <r>
    <s v="SCoTT clARK"/>
    <n v="44"/>
    <x v="0"/>
    <x v="6"/>
    <x v="3"/>
    <d v="2020-09-18T00:00:00"/>
    <s v="Mark Mccarthy"/>
    <s v="Hutchinson, Wilson Daniel and"/>
    <x v="4"/>
    <n v="46950.58"/>
    <n v="384"/>
    <x v="2"/>
    <d v="2020-10-16T00:00:00"/>
    <s v="Penicillin"/>
    <x v="1"/>
    <n v="28"/>
    <x v="3"/>
    <s v="High"/>
    <n v="9"/>
    <x v="3"/>
    <s v="September"/>
  </r>
  <r>
    <s v="JaMIE bAKEr"/>
    <n v="37"/>
    <x v="1"/>
    <x v="4"/>
    <x v="2"/>
    <d v="2022-08-01T00:00:00"/>
    <s v="Shane Green"/>
    <s v="Davis-Martin"/>
    <x v="3"/>
    <n v="41548.15"/>
    <n v="157"/>
    <x v="2"/>
    <d v="2022-08-30T00:00:00"/>
    <s v="Lipitor"/>
    <x v="1"/>
    <n v="29"/>
    <x v="3"/>
    <s v="High"/>
    <n v="8"/>
    <x v="2"/>
    <s v="August"/>
  </r>
  <r>
    <s v="couRTnEy pAtrick"/>
    <n v="79"/>
    <x v="1"/>
    <x v="5"/>
    <x v="4"/>
    <d v="2020-01-11T00:00:00"/>
    <s v="Hayley Payne"/>
    <s v="and Thompson Cook Wiggins,"/>
    <x v="4"/>
    <n v="43277.56"/>
    <n v="214"/>
    <x v="0"/>
    <d v="2020-01-25T00:00:00"/>
    <s v="Penicillin"/>
    <x v="1"/>
    <n v="14"/>
    <x v="2"/>
    <s v="High"/>
    <n v="1"/>
    <x v="3"/>
    <s v="January"/>
  </r>
  <r>
    <s v="wILLiAm waRE"/>
    <n v="18"/>
    <x v="0"/>
    <x v="4"/>
    <x v="4"/>
    <d v="2020-10-16T00:00:00"/>
    <s v="Christopher Sharp"/>
    <s v="Baldwin PLC"/>
    <x v="4"/>
    <n v="41248.129999999997"/>
    <n v="125"/>
    <x v="2"/>
    <d v="2020-10-17T00:00:00"/>
    <s v="Lipitor"/>
    <x v="2"/>
    <n v="1"/>
    <x v="0"/>
    <s v="High"/>
    <n v="10"/>
    <x v="3"/>
    <s v="October"/>
  </r>
  <r>
    <s v="AmBer andeRSoN"/>
    <n v="25"/>
    <x v="1"/>
    <x v="1"/>
    <x v="0"/>
    <d v="2024-04-29T00:00:00"/>
    <s v="Joseph Chandler"/>
    <s v="Heath-Brown"/>
    <x v="3"/>
    <n v="6162.35"/>
    <n v="332"/>
    <x v="1"/>
    <d v="2024-05-19T00:00:00"/>
    <s v="Aspirin"/>
    <x v="1"/>
    <n v="20"/>
    <x v="0"/>
    <s v="Low"/>
    <n v="4"/>
    <x v="0"/>
    <s v="April"/>
  </r>
  <r>
    <s v="caSey joHNson"/>
    <n v="64"/>
    <x v="1"/>
    <x v="3"/>
    <x v="0"/>
    <d v="2022-07-05T00:00:00"/>
    <s v="Brandi Elliott"/>
    <s v="Mendez, and Smith Munoz"/>
    <x v="0"/>
    <n v="45208.34"/>
    <n v="243"/>
    <x v="0"/>
    <d v="2022-07-06T00:00:00"/>
    <s v="Lipitor"/>
    <x v="2"/>
    <n v="1"/>
    <x v="1"/>
    <s v="High"/>
    <n v="7"/>
    <x v="2"/>
    <s v="July"/>
  </r>
  <r>
    <s v="ZAcHaRY ColLins"/>
    <n v="23"/>
    <x v="0"/>
    <x v="6"/>
    <x v="2"/>
    <d v="2019-08-27T00:00:00"/>
    <s v="Brian Fox"/>
    <s v="Inc Daugherty"/>
    <x v="2"/>
    <n v="36324.519999999997"/>
    <n v="377"/>
    <x v="1"/>
    <d v="2019-09-15T00:00:00"/>
    <s v="Paracetamol"/>
    <x v="0"/>
    <n v="19"/>
    <x v="0"/>
    <s v="High"/>
    <n v="8"/>
    <x v="1"/>
    <s v="August"/>
  </r>
  <r>
    <s v="ZACHArY rEed"/>
    <n v="57"/>
    <x v="0"/>
    <x v="2"/>
    <x v="4"/>
    <d v="2024-03-10T00:00:00"/>
    <s v="Paul Coleman"/>
    <s v="Gonzalez LLC"/>
    <x v="1"/>
    <n v="46084.67"/>
    <n v="224"/>
    <x v="0"/>
    <d v="2024-03-22T00:00:00"/>
    <s v="Penicillin"/>
    <x v="2"/>
    <n v="12"/>
    <x v="1"/>
    <s v="High"/>
    <n v="3"/>
    <x v="0"/>
    <s v="March"/>
  </r>
  <r>
    <s v="CHRisTOPHer wEiss"/>
    <n v="49"/>
    <x v="1"/>
    <x v="5"/>
    <x v="3"/>
    <d v="2023-02-16T00:00:00"/>
    <s v="Kelly Thompson"/>
    <s v="Hunter-Hughes"/>
    <x v="2"/>
    <n v="-1018.25"/>
    <n v="204"/>
    <x v="2"/>
    <d v="2023-03-09T00:00:00"/>
    <s v="Penicillin"/>
    <x v="1"/>
    <n v="21"/>
    <x v="3"/>
    <s v="Low"/>
    <n v="2"/>
    <x v="4"/>
    <s v="February"/>
  </r>
  <r>
    <s v="CHArleS sTrong"/>
    <n v="49"/>
    <x v="1"/>
    <x v="7"/>
    <x v="2"/>
    <d v="2024-04-25T00:00:00"/>
    <s v="Corey Perez"/>
    <s v="and Woods, Rodriguez Williams"/>
    <x v="2"/>
    <n v="6657.35"/>
    <n v="415"/>
    <x v="2"/>
    <d v="2024-05-14T00:00:00"/>
    <s v="Penicillin"/>
    <x v="2"/>
    <n v="19"/>
    <x v="3"/>
    <s v="Low"/>
    <n v="4"/>
    <x v="0"/>
    <s v="April"/>
  </r>
  <r>
    <s v="kathErINE KeLLY"/>
    <n v="65"/>
    <x v="1"/>
    <x v="0"/>
    <x v="3"/>
    <d v="2023-09-25T00:00:00"/>
    <s v="Blake Phillips"/>
    <s v="Lowery-Howard"/>
    <x v="3"/>
    <n v="39357.46"/>
    <n v="409"/>
    <x v="0"/>
    <d v="2023-10-13T00:00:00"/>
    <s v="Lipitor"/>
    <x v="0"/>
    <n v="18"/>
    <x v="1"/>
    <s v="High"/>
    <n v="9"/>
    <x v="4"/>
    <s v="September"/>
  </r>
  <r>
    <s v="chrIstOPhEr heNdERSon"/>
    <n v="59"/>
    <x v="1"/>
    <x v="5"/>
    <x v="5"/>
    <d v="2022-09-12T00:00:00"/>
    <s v="Nicole Phelps"/>
    <s v="Colon-Leon"/>
    <x v="4"/>
    <n v="23154.639999999999"/>
    <n v="418"/>
    <x v="1"/>
    <d v="2022-09-21T00:00:00"/>
    <s v="Aspirin"/>
    <x v="0"/>
    <n v="9"/>
    <x v="1"/>
    <s v="Medium"/>
    <n v="9"/>
    <x v="2"/>
    <s v="September"/>
  </r>
  <r>
    <s v="jOsEPh bROWn"/>
    <n v="82"/>
    <x v="0"/>
    <x v="3"/>
    <x v="2"/>
    <d v="2019-06-30T00:00:00"/>
    <s v="Lorraine Powers"/>
    <s v="Boyle-Woods"/>
    <x v="3"/>
    <n v="6653.59"/>
    <n v="449"/>
    <x v="1"/>
    <d v="2019-07-22T00:00:00"/>
    <s v="Penicillin"/>
    <x v="0"/>
    <n v="22"/>
    <x v="2"/>
    <s v="Low"/>
    <n v="6"/>
    <x v="1"/>
    <s v="June"/>
  </r>
  <r>
    <s v="josEpH SAncHEz"/>
    <n v="31"/>
    <x v="0"/>
    <x v="0"/>
    <x v="2"/>
    <d v="2023-02-12T00:00:00"/>
    <s v="Michael Colon"/>
    <s v="and Graham Morris, Gonzales"/>
    <x v="4"/>
    <n v="15327.74"/>
    <n v="397"/>
    <x v="0"/>
    <d v="2023-02-27T00:00:00"/>
    <s v="Penicillin"/>
    <x v="1"/>
    <n v="15"/>
    <x v="0"/>
    <s v="Medium"/>
    <n v="2"/>
    <x v="4"/>
    <s v="February"/>
  </r>
  <r>
    <s v="KYle pEREz"/>
    <n v="63"/>
    <x v="1"/>
    <x v="5"/>
    <x v="1"/>
    <d v="2020-01-23T00:00:00"/>
    <s v="Taylor Sullivan"/>
    <s v="Tucker-Moyer"/>
    <x v="4"/>
    <n v="31457.8"/>
    <n v="316"/>
    <x v="2"/>
    <d v="2020-02-01T00:00:00"/>
    <s v="Aspirin"/>
    <x v="0"/>
    <n v="9"/>
    <x v="1"/>
    <s v="High"/>
    <n v="1"/>
    <x v="3"/>
    <s v="January"/>
  </r>
  <r>
    <s v="EdUaRdO hOuSTOn"/>
    <n v="78"/>
    <x v="0"/>
    <x v="4"/>
    <x v="3"/>
    <d v="2022-11-25T00:00:00"/>
    <s v="Natalie Howell"/>
    <s v="Sons and Stephenson"/>
    <x v="2"/>
    <n v="21875.08"/>
    <n v="137"/>
    <x v="2"/>
    <d v="2022-12-11T00:00:00"/>
    <s v="Penicillin"/>
    <x v="1"/>
    <n v="16"/>
    <x v="2"/>
    <s v="Medium"/>
    <n v="11"/>
    <x v="2"/>
    <s v="November"/>
  </r>
  <r>
    <s v="lORi roACh"/>
    <n v="25"/>
    <x v="1"/>
    <x v="1"/>
    <x v="2"/>
    <d v="2021-02-10T00:00:00"/>
    <s v="Lonnie Duncan"/>
    <s v="Hernandez PLC"/>
    <x v="2"/>
    <n v="49635.31"/>
    <n v="138"/>
    <x v="2"/>
    <d v="2021-02-17T00:00:00"/>
    <s v="Lipitor"/>
    <x v="0"/>
    <n v="7"/>
    <x v="0"/>
    <s v="High"/>
    <n v="2"/>
    <x v="5"/>
    <s v="February"/>
  </r>
  <r>
    <s v="ErIc bUtleR"/>
    <n v="66"/>
    <x v="0"/>
    <x v="5"/>
    <x v="0"/>
    <d v="2023-01-30T00:00:00"/>
    <s v="Bruce Rivera"/>
    <s v="Dougherty Group"/>
    <x v="1"/>
    <n v="41413.81"/>
    <n v="323"/>
    <x v="1"/>
    <d v="2023-02-27T00:00:00"/>
    <s v="Ibuprofen"/>
    <x v="1"/>
    <n v="28"/>
    <x v="1"/>
    <s v="High"/>
    <n v="1"/>
    <x v="4"/>
    <s v="January"/>
  </r>
  <r>
    <s v="jEfFREY bROWn"/>
    <n v="58"/>
    <x v="0"/>
    <x v="3"/>
    <x v="5"/>
    <d v="2019-08-24T00:00:00"/>
    <s v="Jordan Shannon"/>
    <s v="Morgan Zimmerman, Matthews and"/>
    <x v="2"/>
    <n v="16352.59"/>
    <n v="478"/>
    <x v="0"/>
    <d v="2019-09-17T00:00:00"/>
    <s v="Aspirin"/>
    <x v="0"/>
    <n v="24"/>
    <x v="1"/>
    <s v="Medium"/>
    <n v="8"/>
    <x v="1"/>
    <s v="August"/>
  </r>
  <r>
    <s v="ThOmAs hAAS"/>
    <n v="28"/>
    <x v="1"/>
    <x v="1"/>
    <x v="5"/>
    <d v="2024-02-05T00:00:00"/>
    <s v="Cindy Jones"/>
    <s v="Jimenez-Huff"/>
    <x v="3"/>
    <n v="1805.52"/>
    <n v="205"/>
    <x v="0"/>
    <d v="2024-02-06T00:00:00"/>
    <s v="Penicillin"/>
    <x v="0"/>
    <n v="1"/>
    <x v="0"/>
    <s v="Low"/>
    <n v="2"/>
    <x v="0"/>
    <s v="February"/>
  </r>
  <r>
    <s v="kelLY tURner"/>
    <n v="18"/>
    <x v="1"/>
    <x v="3"/>
    <x v="5"/>
    <d v="2021-08-30T00:00:00"/>
    <s v="Reginald Mckinney"/>
    <s v="Stevenson-Chen"/>
    <x v="0"/>
    <n v="38363.26"/>
    <n v="286"/>
    <x v="1"/>
    <d v="2021-09-25T00:00:00"/>
    <s v="Penicillin"/>
    <x v="1"/>
    <n v="26"/>
    <x v="0"/>
    <s v="High"/>
    <n v="8"/>
    <x v="5"/>
    <s v="August"/>
  </r>
  <r>
    <s v="lANce SiMPsOn"/>
    <n v="46"/>
    <x v="1"/>
    <x v="6"/>
    <x v="3"/>
    <d v="2022-01-07T00:00:00"/>
    <s v="Tiffany Hunt"/>
    <s v="Parker-White"/>
    <x v="4"/>
    <n v="32746.560000000001"/>
    <n v="416"/>
    <x v="0"/>
    <d v="2022-01-25T00:00:00"/>
    <s v="Ibuprofen"/>
    <x v="0"/>
    <n v="18"/>
    <x v="3"/>
    <s v="High"/>
    <n v="1"/>
    <x v="2"/>
    <s v="January"/>
  </r>
  <r>
    <s v="jeffrey GReeN"/>
    <n v="44"/>
    <x v="0"/>
    <x v="4"/>
    <x v="5"/>
    <d v="2023-09-08T00:00:00"/>
    <s v="Frank Pierce"/>
    <s v="Vang Schneider and Torres,"/>
    <x v="4"/>
    <n v="36649.32"/>
    <n v="114"/>
    <x v="2"/>
    <d v="2023-10-06T00:00:00"/>
    <s v="Aspirin"/>
    <x v="1"/>
    <n v="28"/>
    <x v="3"/>
    <s v="High"/>
    <n v="9"/>
    <x v="4"/>
    <s v="September"/>
  </r>
  <r>
    <s v="ErIc cOLlInS"/>
    <n v="52"/>
    <x v="1"/>
    <x v="6"/>
    <x v="0"/>
    <d v="2021-10-07T00:00:00"/>
    <s v="Olivia White"/>
    <s v="Booth-Williams"/>
    <x v="3"/>
    <n v="3288.13"/>
    <n v="215"/>
    <x v="2"/>
    <d v="2021-10-10T00:00:00"/>
    <s v="Paracetamol"/>
    <x v="2"/>
    <n v="3"/>
    <x v="3"/>
    <s v="Low"/>
    <n v="10"/>
    <x v="5"/>
    <s v="October"/>
  </r>
  <r>
    <s v="brIanNa wiLlIaMs"/>
    <n v="24"/>
    <x v="1"/>
    <x v="6"/>
    <x v="0"/>
    <d v="2020-02-29T00:00:00"/>
    <s v="Laura Hill"/>
    <s v="Gray-Black"/>
    <x v="3"/>
    <n v="32993.49"/>
    <n v="151"/>
    <x v="0"/>
    <d v="2020-03-17T00:00:00"/>
    <s v="Lipitor"/>
    <x v="0"/>
    <n v="17"/>
    <x v="0"/>
    <s v="High"/>
    <n v="2"/>
    <x v="3"/>
    <s v="February"/>
  </r>
  <r>
    <s v="RoBerT gRavEs"/>
    <n v="53"/>
    <x v="0"/>
    <x v="1"/>
    <x v="1"/>
    <d v="2019-08-06T00:00:00"/>
    <s v="Angela Rogers"/>
    <s v="Johnson-Garcia"/>
    <x v="3"/>
    <n v="3338.22"/>
    <n v="362"/>
    <x v="1"/>
    <d v="2019-09-03T00:00:00"/>
    <s v="Lipitor"/>
    <x v="0"/>
    <n v="28"/>
    <x v="3"/>
    <s v="Low"/>
    <n v="8"/>
    <x v="1"/>
    <s v="August"/>
  </r>
  <r>
    <s v="CINDy wiLLIamS"/>
    <n v="46"/>
    <x v="1"/>
    <x v="2"/>
    <x v="1"/>
    <d v="2019-08-06T00:00:00"/>
    <s v="James Smith"/>
    <s v="Salinas Terrell Villanueva, and"/>
    <x v="0"/>
    <n v="21401.52"/>
    <n v="292"/>
    <x v="0"/>
    <d v="2019-08-09T00:00:00"/>
    <s v="Penicillin"/>
    <x v="2"/>
    <n v="3"/>
    <x v="3"/>
    <s v="Medium"/>
    <n v="8"/>
    <x v="1"/>
    <s v="August"/>
  </r>
  <r>
    <s v="VIcToR sULLivan"/>
    <n v="72"/>
    <x v="1"/>
    <x v="3"/>
    <x v="3"/>
    <d v="2021-12-06T00:00:00"/>
    <s v="Brian Cooper"/>
    <s v="Phelps Group"/>
    <x v="0"/>
    <n v="35828.32"/>
    <n v="248"/>
    <x v="1"/>
    <d v="2021-12-12T00:00:00"/>
    <s v="Aspirin"/>
    <x v="1"/>
    <n v="6"/>
    <x v="2"/>
    <s v="High"/>
    <n v="12"/>
    <x v="5"/>
    <s v="December"/>
  </r>
  <r>
    <s v="Frank SCotT"/>
    <n v="54"/>
    <x v="1"/>
    <x v="2"/>
    <x v="3"/>
    <d v="2020-05-19T00:00:00"/>
    <s v="Jonathan Jimenez"/>
    <s v="Harrison and Erickson, Barnett"/>
    <x v="3"/>
    <n v="14171.99"/>
    <n v="297"/>
    <x v="2"/>
    <d v="2020-06-11T00:00:00"/>
    <s v="Paracetamol"/>
    <x v="1"/>
    <n v="23"/>
    <x v="3"/>
    <s v="Medium"/>
    <n v="5"/>
    <x v="3"/>
    <s v="May"/>
  </r>
  <r>
    <s v="Mark BRaDShaw"/>
    <n v="73"/>
    <x v="0"/>
    <x v="4"/>
    <x v="4"/>
    <d v="2019-12-27T00:00:00"/>
    <s v="Ashley Bishop"/>
    <s v="Fischer Ltd"/>
    <x v="1"/>
    <n v="30283.17"/>
    <n v="311"/>
    <x v="1"/>
    <d v="2019-12-29T00:00:00"/>
    <s v="Lipitor"/>
    <x v="2"/>
    <n v="2"/>
    <x v="2"/>
    <s v="High"/>
    <n v="12"/>
    <x v="1"/>
    <s v="December"/>
  </r>
  <r>
    <s v="JeSSicA duNn"/>
    <n v="69"/>
    <x v="1"/>
    <x v="5"/>
    <x v="0"/>
    <d v="2022-06-04T00:00:00"/>
    <s v="Charles Harris"/>
    <s v="Rhodes-Kelly"/>
    <x v="4"/>
    <n v="31419.119999999999"/>
    <n v="201"/>
    <x v="0"/>
    <d v="2022-06-13T00:00:00"/>
    <s v="Penicillin"/>
    <x v="0"/>
    <n v="9"/>
    <x v="1"/>
    <s v="High"/>
    <n v="6"/>
    <x v="2"/>
    <s v="June"/>
  </r>
  <r>
    <s v="KELsEy foX"/>
    <n v="32"/>
    <x v="0"/>
    <x v="3"/>
    <x v="2"/>
    <d v="2023-01-18T00:00:00"/>
    <s v="Brandon Richardson"/>
    <s v="Tate Pierce and Jackson,"/>
    <x v="2"/>
    <n v="23734.85"/>
    <n v="394"/>
    <x v="1"/>
    <d v="2023-02-03T00:00:00"/>
    <s v="Penicillin"/>
    <x v="0"/>
    <n v="16"/>
    <x v="0"/>
    <s v="Medium"/>
    <n v="1"/>
    <x v="4"/>
    <s v="January"/>
  </r>
  <r>
    <s v="MarY RICE"/>
    <n v="29"/>
    <x v="0"/>
    <x v="6"/>
    <x v="2"/>
    <d v="2023-07-25T00:00:00"/>
    <s v="Shane Wong"/>
    <s v="Inc Daniel"/>
    <x v="2"/>
    <n v="45417.64"/>
    <n v="167"/>
    <x v="2"/>
    <d v="2023-07-28T00:00:00"/>
    <s v="Lipitor"/>
    <x v="1"/>
    <n v="3"/>
    <x v="0"/>
    <s v="High"/>
    <n v="7"/>
    <x v="4"/>
    <s v="July"/>
  </r>
  <r>
    <s v="RACHeL jaCKSON"/>
    <n v="82"/>
    <x v="1"/>
    <x v="1"/>
    <x v="5"/>
    <d v="2020-07-17T00:00:00"/>
    <s v="Michael Oliver"/>
    <s v="and Roberson Lee Young,"/>
    <x v="0"/>
    <n v="12822.78"/>
    <n v="356"/>
    <x v="0"/>
    <d v="2020-08-09T00:00:00"/>
    <s v="Lipitor"/>
    <x v="1"/>
    <n v="23"/>
    <x v="2"/>
    <s v="Medium"/>
    <n v="7"/>
    <x v="3"/>
    <s v="July"/>
  </r>
  <r>
    <s v="leah FRederICk"/>
    <n v="19"/>
    <x v="0"/>
    <x v="7"/>
    <x v="1"/>
    <d v="2023-02-03T00:00:00"/>
    <s v="John Cooper"/>
    <s v="Giles-Miller"/>
    <x v="2"/>
    <n v="25856.22"/>
    <n v="441"/>
    <x v="1"/>
    <d v="2023-02-23T00:00:00"/>
    <s v="Lipitor"/>
    <x v="2"/>
    <n v="20"/>
    <x v="0"/>
    <s v="Medium"/>
    <n v="2"/>
    <x v="4"/>
    <s v="February"/>
  </r>
  <r>
    <s v="COnnOr ODoNNell"/>
    <n v="63"/>
    <x v="0"/>
    <x v="2"/>
    <x v="5"/>
    <d v="2021-11-27T00:00:00"/>
    <s v="Daniel Freeman"/>
    <s v="Martinez, and Snyder Hill"/>
    <x v="3"/>
    <n v="10443.68"/>
    <n v="125"/>
    <x v="2"/>
    <d v="2021-12-08T00:00:00"/>
    <s v="Penicillin"/>
    <x v="0"/>
    <n v="11"/>
    <x v="1"/>
    <s v="Medium"/>
    <n v="11"/>
    <x v="5"/>
    <s v="November"/>
  </r>
  <r>
    <s v="clAUdIa DoWNS"/>
    <n v="38"/>
    <x v="0"/>
    <x v="2"/>
    <x v="4"/>
    <d v="2020-08-18T00:00:00"/>
    <s v="Adriana Gould"/>
    <s v="Barber-Page"/>
    <x v="0"/>
    <n v="40606.46"/>
    <n v="496"/>
    <x v="1"/>
    <d v="2020-08-24T00:00:00"/>
    <s v="Paracetamol"/>
    <x v="1"/>
    <n v="6"/>
    <x v="3"/>
    <s v="High"/>
    <n v="8"/>
    <x v="3"/>
    <s v="August"/>
  </r>
  <r>
    <s v="wIlliaM LaNG"/>
    <n v="74"/>
    <x v="0"/>
    <x v="6"/>
    <x v="2"/>
    <d v="2019-07-06T00:00:00"/>
    <s v="Amanda Hall"/>
    <s v="and Hess Delgado Foster,"/>
    <x v="1"/>
    <n v="32535.45"/>
    <n v="359"/>
    <x v="1"/>
    <d v="2019-08-02T00:00:00"/>
    <s v="Lipitor"/>
    <x v="0"/>
    <n v="27"/>
    <x v="2"/>
    <s v="High"/>
    <n v="7"/>
    <x v="1"/>
    <s v="July"/>
  </r>
  <r>
    <s v="LIsA MORAn"/>
    <n v="38"/>
    <x v="0"/>
    <x v="0"/>
    <x v="3"/>
    <d v="2024-02-17T00:00:00"/>
    <s v="Michael Mcbride"/>
    <s v="Johnson-Holland"/>
    <x v="3"/>
    <n v="34557.29"/>
    <n v="174"/>
    <x v="1"/>
    <d v="2024-02-19T00:00:00"/>
    <s v="Lipitor"/>
    <x v="0"/>
    <n v="2"/>
    <x v="3"/>
    <s v="High"/>
    <n v="2"/>
    <x v="0"/>
    <s v="February"/>
  </r>
  <r>
    <s v="rUBeN BUrTOn"/>
    <n v="53"/>
    <x v="0"/>
    <x v="5"/>
    <x v="5"/>
    <d v="2021-09-06T00:00:00"/>
    <s v="Deborah Wise"/>
    <s v="and Gonzales Dunn, Camacho"/>
    <x v="2"/>
    <n v="35116.71"/>
    <n v="142"/>
    <x v="1"/>
    <d v="2021-10-05T00:00:00"/>
    <s v="Paracetamol"/>
    <x v="0"/>
    <n v="29"/>
    <x v="3"/>
    <s v="High"/>
    <n v="9"/>
    <x v="5"/>
    <s v="September"/>
  </r>
  <r>
    <s v="bRANdon sMith"/>
    <n v="36"/>
    <x v="0"/>
    <x v="4"/>
    <x v="2"/>
    <d v="2021-12-17T00:00:00"/>
    <s v="Ronald Edwards"/>
    <s v="Rodriguez Diaz Daugherty, and"/>
    <x v="0"/>
    <n v="28270.3"/>
    <n v="119"/>
    <x v="2"/>
    <d v="2022-01-07T00:00:00"/>
    <s v="Ibuprofen"/>
    <x v="1"/>
    <n v="21"/>
    <x v="3"/>
    <s v="Medium"/>
    <n v="12"/>
    <x v="5"/>
    <s v="December"/>
  </r>
  <r>
    <s v="jeSSiCa MURPHY"/>
    <n v="67"/>
    <x v="1"/>
    <x v="1"/>
    <x v="5"/>
    <d v="2022-09-20T00:00:00"/>
    <s v="Raymond Bowen"/>
    <s v="Rowland-Abbott"/>
    <x v="0"/>
    <n v="47734.99"/>
    <n v="143"/>
    <x v="1"/>
    <d v="2022-10-07T00:00:00"/>
    <s v="Aspirin"/>
    <x v="2"/>
    <n v="17"/>
    <x v="1"/>
    <s v="High"/>
    <n v="9"/>
    <x v="2"/>
    <s v="September"/>
  </r>
  <r>
    <s v="miSty wiLLIamS"/>
    <n v="63"/>
    <x v="0"/>
    <x v="5"/>
    <x v="3"/>
    <d v="2021-12-13T00:00:00"/>
    <s v="Jill Bailey"/>
    <s v="Murphy, Reid Knox and"/>
    <x v="4"/>
    <n v="19176.259999999998"/>
    <n v="452"/>
    <x v="2"/>
    <d v="2021-12-20T00:00:00"/>
    <s v="Penicillin"/>
    <x v="1"/>
    <n v="7"/>
    <x v="1"/>
    <s v="Medium"/>
    <n v="12"/>
    <x v="5"/>
    <s v="December"/>
  </r>
  <r>
    <s v="brAndY GEORGE"/>
    <n v="39"/>
    <x v="0"/>
    <x v="1"/>
    <x v="5"/>
    <d v="2021-10-12T00:00:00"/>
    <s v="Jennifer Pope"/>
    <s v="Ryan-Mcneil"/>
    <x v="0"/>
    <n v="8731.48"/>
    <n v="219"/>
    <x v="1"/>
    <d v="2021-10-27T00:00:00"/>
    <s v="Ibuprofen"/>
    <x v="0"/>
    <n v="15"/>
    <x v="3"/>
    <s v="Low"/>
    <n v="10"/>
    <x v="5"/>
    <s v="October"/>
  </r>
  <r>
    <s v="ANDrea Buck"/>
    <n v="55"/>
    <x v="0"/>
    <x v="7"/>
    <x v="3"/>
    <d v="2023-08-08T00:00:00"/>
    <s v="Taylor Craig"/>
    <s v="Ramos Miller and Moore,"/>
    <x v="1"/>
    <n v="19249.689999999999"/>
    <n v="107"/>
    <x v="1"/>
    <d v="2023-08-21T00:00:00"/>
    <s v="Aspirin"/>
    <x v="2"/>
    <n v="13"/>
    <x v="3"/>
    <s v="Medium"/>
    <n v="8"/>
    <x v="4"/>
    <s v="August"/>
  </r>
  <r>
    <s v="STephanIE bUrKE"/>
    <n v="80"/>
    <x v="0"/>
    <x v="5"/>
    <x v="1"/>
    <d v="2019-11-15T00:00:00"/>
    <s v="Kristy Waters"/>
    <s v="Sons Cherry and"/>
    <x v="2"/>
    <n v="22758.639999999999"/>
    <n v="170"/>
    <x v="2"/>
    <d v="2019-12-13T00:00:00"/>
    <s v="Aspirin"/>
    <x v="1"/>
    <n v="28"/>
    <x v="2"/>
    <s v="Medium"/>
    <n v="11"/>
    <x v="1"/>
    <s v="November"/>
  </r>
  <r>
    <s v="STEPHaNiE moON"/>
    <n v="18"/>
    <x v="1"/>
    <x v="0"/>
    <x v="3"/>
    <d v="2021-12-17T00:00:00"/>
    <s v="Elizabeth Blevins"/>
    <s v="Cook LLC"/>
    <x v="0"/>
    <n v="20929.07"/>
    <n v="135"/>
    <x v="1"/>
    <d v="2021-12-26T00:00:00"/>
    <s v="Aspirin"/>
    <x v="0"/>
    <n v="9"/>
    <x v="0"/>
    <s v="Medium"/>
    <n v="12"/>
    <x v="5"/>
    <s v="December"/>
  </r>
  <r>
    <s v="sHaRON joHnsON"/>
    <n v="41"/>
    <x v="0"/>
    <x v="3"/>
    <x v="0"/>
    <d v="2022-11-08T00:00:00"/>
    <s v="Janice Jones"/>
    <s v="Phillips Ltd"/>
    <x v="4"/>
    <n v="3899.86"/>
    <n v="234"/>
    <x v="1"/>
    <d v="2022-11-11T00:00:00"/>
    <s v="Penicillin"/>
    <x v="2"/>
    <n v="3"/>
    <x v="3"/>
    <s v="Low"/>
    <n v="11"/>
    <x v="2"/>
    <s v="November"/>
  </r>
  <r>
    <s v="MaTtHeW haLEY"/>
    <n v="81"/>
    <x v="0"/>
    <x v="1"/>
    <x v="5"/>
    <d v="2020-02-24T00:00:00"/>
    <s v="Joann Anderson"/>
    <s v="Oliver Griffin Johnson, and"/>
    <x v="0"/>
    <n v="19698"/>
    <n v="279"/>
    <x v="2"/>
    <d v="2020-03-16T00:00:00"/>
    <s v="Paracetamol"/>
    <x v="2"/>
    <n v="21"/>
    <x v="2"/>
    <s v="Medium"/>
    <n v="2"/>
    <x v="3"/>
    <s v="February"/>
  </r>
  <r>
    <s v="SaBRInA May"/>
    <n v="66"/>
    <x v="1"/>
    <x v="3"/>
    <x v="3"/>
    <d v="2022-05-28T00:00:00"/>
    <s v="Christine Mejia"/>
    <s v="Gregory Group"/>
    <x v="2"/>
    <n v="34060.269999999997"/>
    <n v="111"/>
    <x v="2"/>
    <d v="2022-06-22T00:00:00"/>
    <s v="Lipitor"/>
    <x v="1"/>
    <n v="25"/>
    <x v="1"/>
    <s v="High"/>
    <n v="5"/>
    <x v="2"/>
    <s v="May"/>
  </r>
  <r>
    <s v="melindA aUstiN"/>
    <n v="44"/>
    <x v="0"/>
    <x v="1"/>
    <x v="4"/>
    <d v="2022-09-03T00:00:00"/>
    <s v="Pamela Reed"/>
    <s v="and Camacho Thomas Malone,"/>
    <x v="3"/>
    <n v="40367.629999999997"/>
    <n v="317"/>
    <x v="2"/>
    <d v="2022-09-30T00:00:00"/>
    <s v="Aspirin"/>
    <x v="1"/>
    <n v="27"/>
    <x v="3"/>
    <s v="High"/>
    <n v="9"/>
    <x v="2"/>
    <s v="September"/>
  </r>
  <r>
    <s v="angElA MonTgOmery"/>
    <n v="81"/>
    <x v="1"/>
    <x v="5"/>
    <x v="5"/>
    <d v="2020-04-07T00:00:00"/>
    <s v="William Holmes"/>
    <s v="LLC Smith"/>
    <x v="4"/>
    <n v="3638.25"/>
    <n v="125"/>
    <x v="1"/>
    <d v="2020-04-30T00:00:00"/>
    <s v="Aspirin"/>
    <x v="2"/>
    <n v="23"/>
    <x v="2"/>
    <s v="Low"/>
    <n v="4"/>
    <x v="3"/>
    <s v="April"/>
  </r>
  <r>
    <s v="VAnessA MaRTiN"/>
    <n v="77"/>
    <x v="0"/>
    <x v="3"/>
    <x v="5"/>
    <d v="2019-08-25T00:00:00"/>
    <s v="Heather Bowman"/>
    <s v="Cunningham Andrade and Butler,"/>
    <x v="4"/>
    <n v="46134.93"/>
    <n v="107"/>
    <x v="2"/>
    <d v="2019-09-04T00:00:00"/>
    <s v="Aspirin"/>
    <x v="1"/>
    <n v="10"/>
    <x v="2"/>
    <s v="High"/>
    <n v="8"/>
    <x v="1"/>
    <s v="August"/>
  </r>
  <r>
    <s v="gABriel steVEnS"/>
    <n v="62"/>
    <x v="0"/>
    <x v="0"/>
    <x v="1"/>
    <d v="2021-05-28T00:00:00"/>
    <s v="Brittany Burns"/>
    <s v="Curtis-Lin"/>
    <x v="1"/>
    <n v="14549.49"/>
    <n v="286"/>
    <x v="0"/>
    <d v="2021-06-09T00:00:00"/>
    <s v="Penicillin"/>
    <x v="2"/>
    <n v="12"/>
    <x v="1"/>
    <s v="Medium"/>
    <n v="5"/>
    <x v="5"/>
    <s v="May"/>
  </r>
  <r>
    <s v="MichAEL wOLfE"/>
    <n v="78"/>
    <x v="0"/>
    <x v="3"/>
    <x v="0"/>
    <d v="2024-02-25T00:00:00"/>
    <s v="Amber Carpenter"/>
    <s v="Ltd Smith"/>
    <x v="2"/>
    <n v="30549.65"/>
    <n v="314"/>
    <x v="1"/>
    <d v="2024-03-08T00:00:00"/>
    <s v="Paracetamol"/>
    <x v="1"/>
    <n v="12"/>
    <x v="2"/>
    <s v="High"/>
    <n v="2"/>
    <x v="0"/>
    <s v="February"/>
  </r>
  <r>
    <s v="bROokE TorreS"/>
    <n v="70"/>
    <x v="0"/>
    <x v="3"/>
    <x v="2"/>
    <d v="2019-09-08T00:00:00"/>
    <s v="Kimberly Castaneda"/>
    <s v="Inc Sanchez"/>
    <x v="1"/>
    <n v="13666.18"/>
    <n v="331"/>
    <x v="2"/>
    <d v="2019-09-09T00:00:00"/>
    <s v="Lipitor"/>
    <x v="0"/>
    <n v="1"/>
    <x v="1"/>
    <s v="Medium"/>
    <n v="9"/>
    <x v="1"/>
    <s v="September"/>
  </r>
  <r>
    <s v="vicTOr DUKE"/>
    <n v="33"/>
    <x v="0"/>
    <x v="0"/>
    <x v="3"/>
    <d v="2023-05-25T00:00:00"/>
    <s v="Jessica Vasquez"/>
    <s v="Rice, Cooper Rivera and"/>
    <x v="2"/>
    <n v="45199.27"/>
    <n v="388"/>
    <x v="2"/>
    <d v="2023-05-29T00:00:00"/>
    <s v="Lipitor"/>
    <x v="2"/>
    <n v="4"/>
    <x v="0"/>
    <s v="High"/>
    <n v="5"/>
    <x v="4"/>
    <s v="May"/>
  </r>
  <r>
    <s v="josepH gaRrETt"/>
    <n v="56"/>
    <x v="1"/>
    <x v="5"/>
    <x v="5"/>
    <d v="2023-07-11T00:00:00"/>
    <s v="Joseph Robinson"/>
    <s v="Garcia LLC"/>
    <x v="1"/>
    <n v="20514.400000000001"/>
    <n v="214"/>
    <x v="2"/>
    <d v="2023-08-01T00:00:00"/>
    <s v="Ibuprofen"/>
    <x v="2"/>
    <n v="21"/>
    <x v="1"/>
    <s v="Medium"/>
    <n v="7"/>
    <x v="4"/>
    <s v="July"/>
  </r>
  <r>
    <s v="kARa lI"/>
    <n v="38"/>
    <x v="0"/>
    <x v="1"/>
    <x v="0"/>
    <d v="2024-03-20T00:00:00"/>
    <s v="Travis Morales"/>
    <s v="Bell Ltd"/>
    <x v="0"/>
    <n v="47700.54"/>
    <n v="303"/>
    <x v="1"/>
    <d v="2024-04-05T00:00:00"/>
    <s v="Penicillin"/>
    <x v="0"/>
    <n v="16"/>
    <x v="3"/>
    <s v="High"/>
    <n v="3"/>
    <x v="0"/>
    <s v="March"/>
  </r>
  <r>
    <s v="jUan kEllEy"/>
    <n v="33"/>
    <x v="0"/>
    <x v="4"/>
    <x v="4"/>
    <d v="2021-11-05T00:00:00"/>
    <s v="Carrie Montes"/>
    <s v="Hogan, Young Holmes and"/>
    <x v="1"/>
    <n v="2462.21"/>
    <n v="329"/>
    <x v="0"/>
    <d v="2021-11-06T00:00:00"/>
    <s v="Paracetamol"/>
    <x v="1"/>
    <n v="1"/>
    <x v="0"/>
    <s v="Low"/>
    <n v="11"/>
    <x v="5"/>
    <s v="November"/>
  </r>
  <r>
    <s v="sHawNA rUsseLl"/>
    <n v="25"/>
    <x v="0"/>
    <x v="7"/>
    <x v="4"/>
    <d v="2023-08-27T00:00:00"/>
    <s v="Alexander Walters"/>
    <s v="Vazquez-Sanchez"/>
    <x v="2"/>
    <n v="31401.5"/>
    <n v="265"/>
    <x v="0"/>
    <d v="2023-08-28T00:00:00"/>
    <s v="Lipitor"/>
    <x v="1"/>
    <n v="1"/>
    <x v="0"/>
    <s v="High"/>
    <n v="8"/>
    <x v="4"/>
    <s v="August"/>
  </r>
  <r>
    <s v="LOrI LawREnce"/>
    <n v="66"/>
    <x v="1"/>
    <x v="0"/>
    <x v="1"/>
    <d v="2022-05-26T00:00:00"/>
    <s v="Justin Paul"/>
    <s v="Mcintyre Ltd"/>
    <x v="3"/>
    <n v="20749.86"/>
    <n v="179"/>
    <x v="2"/>
    <d v="2022-05-30T00:00:00"/>
    <s v="Paracetamol"/>
    <x v="1"/>
    <n v="4"/>
    <x v="1"/>
    <s v="Medium"/>
    <n v="5"/>
    <x v="2"/>
    <s v="May"/>
  </r>
  <r>
    <s v="WhItney jonES"/>
    <n v="47"/>
    <x v="0"/>
    <x v="6"/>
    <x v="4"/>
    <d v="2021-09-13T00:00:00"/>
    <s v="Curtis Fox"/>
    <s v="White Roberts and Lee,"/>
    <x v="0"/>
    <n v="47297.42"/>
    <n v="389"/>
    <x v="1"/>
    <d v="2021-09-16T00:00:00"/>
    <s v="Lipitor"/>
    <x v="0"/>
    <n v="3"/>
    <x v="3"/>
    <s v="High"/>
    <n v="9"/>
    <x v="5"/>
    <s v="September"/>
  </r>
  <r>
    <s v="JOE DaVila"/>
    <n v="53"/>
    <x v="1"/>
    <x v="7"/>
    <x v="1"/>
    <d v="2024-03-10T00:00:00"/>
    <s v="Theresa Harrison"/>
    <s v="Simpson Espinoza, and Thompson"/>
    <x v="2"/>
    <n v="26223.17"/>
    <n v="122"/>
    <x v="0"/>
    <d v="2024-03-15T00:00:00"/>
    <s v="Penicillin"/>
    <x v="0"/>
    <n v="5"/>
    <x v="3"/>
    <s v="Medium"/>
    <n v="3"/>
    <x v="0"/>
    <s v="March"/>
  </r>
  <r>
    <s v="lISa KELlEr"/>
    <n v="37"/>
    <x v="0"/>
    <x v="4"/>
    <x v="3"/>
    <d v="2022-09-26T00:00:00"/>
    <s v="Mark Maynard"/>
    <s v="and Moore Sons"/>
    <x v="4"/>
    <n v="35821.65"/>
    <n v="230"/>
    <x v="0"/>
    <d v="2022-10-24T00:00:00"/>
    <s v="Paracetamol"/>
    <x v="0"/>
    <n v="28"/>
    <x v="3"/>
    <s v="High"/>
    <n v="9"/>
    <x v="2"/>
    <s v="September"/>
  </r>
  <r>
    <s v="jOrdAN BUSh"/>
    <n v="56"/>
    <x v="0"/>
    <x v="2"/>
    <x v="5"/>
    <d v="2019-12-26T00:00:00"/>
    <s v="Randy Graham"/>
    <s v="and Mclaughlin Powers Stevens,"/>
    <x v="1"/>
    <n v="21633.33"/>
    <n v="111"/>
    <x v="2"/>
    <d v="2019-12-27T00:00:00"/>
    <s v="Paracetamol"/>
    <x v="1"/>
    <n v="1"/>
    <x v="1"/>
    <s v="Medium"/>
    <n v="12"/>
    <x v="1"/>
    <s v="December"/>
  </r>
  <r>
    <s v="BrEnDA yU"/>
    <n v="51"/>
    <x v="0"/>
    <x v="2"/>
    <x v="5"/>
    <d v="2021-01-18T00:00:00"/>
    <s v="Michael Jenkins"/>
    <s v="and Anderson, Porter Becker"/>
    <x v="0"/>
    <n v="39448.89"/>
    <n v="124"/>
    <x v="2"/>
    <d v="2021-02-11T00:00:00"/>
    <s v="Aspirin"/>
    <x v="1"/>
    <n v="24"/>
    <x v="3"/>
    <s v="High"/>
    <n v="1"/>
    <x v="5"/>
    <s v="January"/>
  </r>
  <r>
    <s v="JASmine sHort"/>
    <n v="40"/>
    <x v="1"/>
    <x v="7"/>
    <x v="0"/>
    <d v="2021-02-23T00:00:00"/>
    <s v="Amy Johnson"/>
    <s v="Bailey-Hunt"/>
    <x v="1"/>
    <n v="8867.75"/>
    <n v="302"/>
    <x v="1"/>
    <d v="2021-03-20T00:00:00"/>
    <s v="Lipitor"/>
    <x v="1"/>
    <n v="25"/>
    <x v="3"/>
    <s v="Low"/>
    <n v="2"/>
    <x v="5"/>
    <s v="February"/>
  </r>
  <r>
    <s v="Tamara LEonArd"/>
    <n v="56"/>
    <x v="1"/>
    <x v="4"/>
    <x v="5"/>
    <d v="2020-03-15T00:00:00"/>
    <s v="Timothy Wagner"/>
    <s v="King and Bryant Olsen,"/>
    <x v="4"/>
    <n v="5571.24"/>
    <n v="192"/>
    <x v="2"/>
    <d v="2020-03-22T00:00:00"/>
    <s v="Paracetamol"/>
    <x v="0"/>
    <n v="7"/>
    <x v="1"/>
    <s v="Low"/>
    <n v="3"/>
    <x v="3"/>
    <s v="March"/>
  </r>
  <r>
    <s v="keVIN wong"/>
    <n v="76"/>
    <x v="0"/>
    <x v="1"/>
    <x v="3"/>
    <d v="2019-09-22T00:00:00"/>
    <s v="Kara Stevens"/>
    <s v="Watson Johnson Joseph, and"/>
    <x v="2"/>
    <n v="13014.33"/>
    <n v="108"/>
    <x v="1"/>
    <d v="2019-09-28T00:00:00"/>
    <s v="Aspirin"/>
    <x v="2"/>
    <n v="6"/>
    <x v="2"/>
    <s v="Medium"/>
    <n v="9"/>
    <x v="1"/>
    <s v="September"/>
  </r>
  <r>
    <s v="LIsa LopeZ"/>
    <n v="81"/>
    <x v="0"/>
    <x v="4"/>
    <x v="1"/>
    <d v="2023-12-07T00:00:00"/>
    <s v="David Keller"/>
    <s v="Group Evans"/>
    <x v="2"/>
    <n v="27828.94"/>
    <n v="226"/>
    <x v="1"/>
    <d v="2023-12-13T00:00:00"/>
    <s v="Ibuprofen"/>
    <x v="2"/>
    <n v="6"/>
    <x v="2"/>
    <s v="Medium"/>
    <n v="12"/>
    <x v="4"/>
    <s v="December"/>
  </r>
  <r>
    <s v="jUSTiN VArgAs"/>
    <n v="84"/>
    <x v="1"/>
    <x v="7"/>
    <x v="5"/>
    <d v="2020-07-01T00:00:00"/>
    <s v="Emily Sanders"/>
    <s v="Collins Porter and Rodgers,"/>
    <x v="2"/>
    <n v="36931.480000000003"/>
    <n v="337"/>
    <x v="2"/>
    <d v="2020-07-09T00:00:00"/>
    <s v="Paracetamol"/>
    <x v="0"/>
    <n v="8"/>
    <x v="2"/>
    <s v="High"/>
    <n v="7"/>
    <x v="3"/>
    <s v="July"/>
  </r>
  <r>
    <s v="JoDy loPEZ"/>
    <n v="54"/>
    <x v="0"/>
    <x v="3"/>
    <x v="1"/>
    <d v="2020-05-12T00:00:00"/>
    <s v="Chris Green"/>
    <s v="and Goodwin, Hernandez Andrade"/>
    <x v="1"/>
    <n v="41307.9"/>
    <n v="141"/>
    <x v="2"/>
    <d v="2020-05-17T00:00:00"/>
    <s v="Penicillin"/>
    <x v="0"/>
    <n v="5"/>
    <x v="3"/>
    <s v="High"/>
    <n v="5"/>
    <x v="3"/>
    <s v="May"/>
  </r>
  <r>
    <s v="JONaTHaN wOODs"/>
    <n v="40"/>
    <x v="0"/>
    <x v="6"/>
    <x v="3"/>
    <d v="2022-08-29T00:00:00"/>
    <s v="Kurt Hamilton"/>
    <s v="Solomon PLC"/>
    <x v="1"/>
    <n v="36632.32"/>
    <n v="476"/>
    <x v="0"/>
    <d v="2022-09-10T00:00:00"/>
    <s v="Penicillin"/>
    <x v="1"/>
    <n v="12"/>
    <x v="3"/>
    <s v="High"/>
    <n v="8"/>
    <x v="2"/>
    <s v="August"/>
  </r>
  <r>
    <s v="eMMa RAY"/>
    <n v="79"/>
    <x v="0"/>
    <x v="7"/>
    <x v="0"/>
    <d v="2019-11-01T00:00:00"/>
    <s v="Richard Jones"/>
    <s v="Flores Sons and"/>
    <x v="0"/>
    <n v="17658.47"/>
    <n v="461"/>
    <x v="1"/>
    <d v="2019-11-19T00:00:00"/>
    <s v="Penicillin"/>
    <x v="1"/>
    <n v="18"/>
    <x v="2"/>
    <s v="Medium"/>
    <n v="11"/>
    <x v="1"/>
    <s v="November"/>
  </r>
  <r>
    <s v="andrEa jOHNSon"/>
    <n v="52"/>
    <x v="0"/>
    <x v="5"/>
    <x v="0"/>
    <d v="2019-08-16T00:00:00"/>
    <s v="Brian Herrera"/>
    <s v="Lowe LLC"/>
    <x v="0"/>
    <n v="10034.719999999999"/>
    <n v="362"/>
    <x v="1"/>
    <d v="2019-09-15T00:00:00"/>
    <s v="Paracetamol"/>
    <x v="2"/>
    <n v="30"/>
    <x v="3"/>
    <s v="Medium"/>
    <n v="8"/>
    <x v="1"/>
    <s v="August"/>
  </r>
  <r>
    <s v="waYnE SHArp"/>
    <n v="42"/>
    <x v="0"/>
    <x v="6"/>
    <x v="2"/>
    <d v="2021-02-28T00:00:00"/>
    <s v="Robert Perkins"/>
    <s v="Lopez Keller, Williams and"/>
    <x v="4"/>
    <n v="7383.38"/>
    <n v="395"/>
    <x v="1"/>
    <d v="2021-03-14T00:00:00"/>
    <s v="Paracetamol"/>
    <x v="0"/>
    <n v="14"/>
    <x v="3"/>
    <s v="Low"/>
    <n v="2"/>
    <x v="5"/>
    <s v="February"/>
  </r>
  <r>
    <s v="sHelby BLack"/>
    <n v="41"/>
    <x v="0"/>
    <x v="1"/>
    <x v="3"/>
    <d v="2020-09-07T00:00:00"/>
    <s v="Peter Nunez"/>
    <s v="Brown-Wood"/>
    <x v="0"/>
    <n v="28974.46"/>
    <n v="377"/>
    <x v="2"/>
    <d v="2020-09-30T00:00:00"/>
    <s v="Paracetamol"/>
    <x v="0"/>
    <n v="23"/>
    <x v="3"/>
    <s v="Medium"/>
    <n v="9"/>
    <x v="3"/>
    <s v="September"/>
  </r>
  <r>
    <s v="maRthA MARTiN"/>
    <n v="26"/>
    <x v="0"/>
    <x v="1"/>
    <x v="5"/>
    <d v="2024-02-16T00:00:00"/>
    <s v="Diane Richardson"/>
    <s v="Martinez-Davis"/>
    <x v="0"/>
    <n v="4697.2299999999996"/>
    <n v="143"/>
    <x v="2"/>
    <d v="2024-02-28T00:00:00"/>
    <s v="Aspirin"/>
    <x v="2"/>
    <n v="12"/>
    <x v="0"/>
    <s v="Low"/>
    <n v="2"/>
    <x v="0"/>
    <s v="February"/>
  </r>
  <r>
    <s v="amanDA wilSoN"/>
    <n v="76"/>
    <x v="1"/>
    <x v="6"/>
    <x v="0"/>
    <d v="2021-01-16T00:00:00"/>
    <s v="Julia Monroe"/>
    <s v="Alexander-Oconnor"/>
    <x v="4"/>
    <n v="41150.19"/>
    <n v="244"/>
    <x v="2"/>
    <d v="2021-01-27T00:00:00"/>
    <s v="Lipitor"/>
    <x v="2"/>
    <n v="11"/>
    <x v="2"/>
    <s v="High"/>
    <n v="1"/>
    <x v="5"/>
    <s v="January"/>
  </r>
  <r>
    <s v="JErEMy NGuyeN"/>
    <n v="29"/>
    <x v="1"/>
    <x v="1"/>
    <x v="5"/>
    <d v="2023-01-31T00:00:00"/>
    <s v="Michael Palmer"/>
    <s v="Carlson-Stone"/>
    <x v="4"/>
    <n v="30324.45"/>
    <n v="156"/>
    <x v="1"/>
    <d v="2023-02-14T00:00:00"/>
    <s v="Penicillin"/>
    <x v="0"/>
    <n v="14"/>
    <x v="0"/>
    <s v="High"/>
    <n v="1"/>
    <x v="4"/>
    <s v="January"/>
  </r>
  <r>
    <s v="eILEEN HaRRIs"/>
    <n v="19"/>
    <x v="0"/>
    <x v="0"/>
    <x v="4"/>
    <d v="2022-07-29T00:00:00"/>
    <s v="Hector King"/>
    <s v="George Ward, and Clark"/>
    <x v="1"/>
    <n v="33646.11"/>
    <n v="457"/>
    <x v="1"/>
    <d v="2022-08-21T00:00:00"/>
    <s v="Penicillin"/>
    <x v="0"/>
    <n v="23"/>
    <x v="0"/>
    <s v="High"/>
    <n v="7"/>
    <x v="2"/>
    <s v="July"/>
  </r>
  <r>
    <s v="johN becKEr"/>
    <n v="30"/>
    <x v="1"/>
    <x v="7"/>
    <x v="2"/>
    <d v="2022-04-27T00:00:00"/>
    <s v="Michael Webster"/>
    <s v="Nicholson-Johnson"/>
    <x v="4"/>
    <n v="46717.95"/>
    <n v="147"/>
    <x v="0"/>
    <d v="2022-05-01T00:00:00"/>
    <s v="Penicillin"/>
    <x v="1"/>
    <n v="4"/>
    <x v="0"/>
    <s v="High"/>
    <n v="4"/>
    <x v="2"/>
    <s v="April"/>
  </r>
  <r>
    <s v="FelICIa wILey"/>
    <n v="37"/>
    <x v="1"/>
    <x v="7"/>
    <x v="3"/>
    <d v="2020-06-06T00:00:00"/>
    <s v="Christy Maxwell"/>
    <s v="PLC Carr"/>
    <x v="2"/>
    <n v="49997.33"/>
    <n v="427"/>
    <x v="2"/>
    <d v="2020-06-22T00:00:00"/>
    <s v="Aspirin"/>
    <x v="0"/>
    <n v="16"/>
    <x v="3"/>
    <s v="High"/>
    <n v="6"/>
    <x v="3"/>
    <s v="June"/>
  </r>
  <r>
    <s v="JESsE JOneS"/>
    <n v="82"/>
    <x v="1"/>
    <x v="5"/>
    <x v="3"/>
    <d v="2019-11-02T00:00:00"/>
    <s v="Jorge Armstrong"/>
    <s v="Alexander-Middleton"/>
    <x v="0"/>
    <n v="38397.019999999997"/>
    <n v="316"/>
    <x v="2"/>
    <d v="2019-11-28T00:00:00"/>
    <s v="Penicillin"/>
    <x v="2"/>
    <n v="26"/>
    <x v="2"/>
    <s v="High"/>
    <n v="11"/>
    <x v="1"/>
    <s v="November"/>
  </r>
  <r>
    <s v="steVEN gleNn"/>
    <n v="84"/>
    <x v="1"/>
    <x v="6"/>
    <x v="1"/>
    <d v="2022-09-12T00:00:00"/>
    <s v="Alexander Patterson"/>
    <s v="Horton-Martinez"/>
    <x v="3"/>
    <n v="10135.870000000001"/>
    <n v="469"/>
    <x v="0"/>
    <d v="2022-09-22T00:00:00"/>
    <s v="Paracetamol"/>
    <x v="1"/>
    <n v="10"/>
    <x v="2"/>
    <s v="Medium"/>
    <n v="9"/>
    <x v="2"/>
    <s v="September"/>
  </r>
  <r>
    <s v="CAROLine sWanSoN"/>
    <n v="52"/>
    <x v="1"/>
    <x v="1"/>
    <x v="5"/>
    <d v="2021-01-10T00:00:00"/>
    <s v="Richard Rodgers"/>
    <s v="Group Schneider"/>
    <x v="2"/>
    <n v="25685.63"/>
    <n v="260"/>
    <x v="1"/>
    <d v="2021-01-25T00:00:00"/>
    <s v="Paracetamol"/>
    <x v="2"/>
    <n v="15"/>
    <x v="3"/>
    <s v="Medium"/>
    <n v="1"/>
    <x v="5"/>
    <s v="January"/>
  </r>
  <r>
    <s v="TERRy NiCHolson"/>
    <n v="75"/>
    <x v="1"/>
    <x v="0"/>
    <x v="4"/>
    <d v="2019-11-05T00:00:00"/>
    <s v="Jasmine King"/>
    <s v="PLC Obrien"/>
    <x v="0"/>
    <n v="6007.69"/>
    <n v="426"/>
    <x v="1"/>
    <d v="2019-11-08T00:00:00"/>
    <s v="Aspirin"/>
    <x v="1"/>
    <n v="3"/>
    <x v="2"/>
    <s v="Low"/>
    <n v="11"/>
    <x v="1"/>
    <s v="November"/>
  </r>
  <r>
    <s v="KelLy tHOmAS"/>
    <n v="30"/>
    <x v="0"/>
    <x v="1"/>
    <x v="0"/>
    <d v="2021-02-17T00:00:00"/>
    <s v="Nancy Sutton"/>
    <s v="Ramos-Holt"/>
    <x v="0"/>
    <n v="7609.44"/>
    <n v="404"/>
    <x v="0"/>
    <d v="2021-03-07T00:00:00"/>
    <s v="Ibuprofen"/>
    <x v="2"/>
    <n v="18"/>
    <x v="0"/>
    <s v="Low"/>
    <n v="2"/>
    <x v="5"/>
    <s v="February"/>
  </r>
  <r>
    <s v="stevEn McgeE"/>
    <n v="76"/>
    <x v="0"/>
    <x v="2"/>
    <x v="2"/>
    <d v="2023-06-04T00:00:00"/>
    <s v="Brittany Anderson"/>
    <s v="Patterson and Peterson, Velazquez"/>
    <x v="1"/>
    <n v="46287.05"/>
    <n v="451"/>
    <x v="1"/>
    <d v="2023-06-27T00:00:00"/>
    <s v="Paracetamol"/>
    <x v="1"/>
    <n v="23"/>
    <x v="2"/>
    <s v="High"/>
    <n v="6"/>
    <x v="4"/>
    <s v="June"/>
  </r>
  <r>
    <s v="sHeLleY waRE"/>
    <n v="56"/>
    <x v="0"/>
    <x v="0"/>
    <x v="2"/>
    <d v="2023-09-07T00:00:00"/>
    <s v="Heather Long"/>
    <s v="Jensen and Jackson, Greene"/>
    <x v="1"/>
    <n v="19204.919999999998"/>
    <n v="131"/>
    <x v="1"/>
    <d v="2023-10-06T00:00:00"/>
    <s v="Lipitor"/>
    <x v="1"/>
    <n v="29"/>
    <x v="1"/>
    <s v="Medium"/>
    <n v="9"/>
    <x v="4"/>
    <s v="September"/>
  </r>
  <r>
    <s v="MELiSSA bRADY"/>
    <n v="65"/>
    <x v="1"/>
    <x v="7"/>
    <x v="4"/>
    <d v="2022-09-29T00:00:00"/>
    <s v="Amy Hawkins"/>
    <s v="Mathews-Lawrence"/>
    <x v="3"/>
    <n v="45019.03"/>
    <n v="237"/>
    <x v="1"/>
    <d v="2022-10-09T00:00:00"/>
    <s v="Paracetamol"/>
    <x v="2"/>
    <n v="10"/>
    <x v="1"/>
    <s v="High"/>
    <n v="9"/>
    <x v="2"/>
    <s v="September"/>
  </r>
  <r>
    <s v="MArIA hAll"/>
    <n v="83"/>
    <x v="1"/>
    <x v="1"/>
    <x v="1"/>
    <d v="2022-02-03T00:00:00"/>
    <s v="Victor Fowler"/>
    <s v="Morales, Johnson and Carlson"/>
    <x v="0"/>
    <n v="44581.15"/>
    <n v="374"/>
    <x v="0"/>
    <d v="2022-02-08T00:00:00"/>
    <s v="Penicillin"/>
    <x v="2"/>
    <n v="5"/>
    <x v="2"/>
    <s v="High"/>
    <n v="2"/>
    <x v="2"/>
    <s v="February"/>
  </r>
  <r>
    <s v="AnDRE sMITh"/>
    <n v="43"/>
    <x v="1"/>
    <x v="6"/>
    <x v="4"/>
    <d v="2024-02-14T00:00:00"/>
    <s v="Sharon Hall"/>
    <s v="Wilson, Ward Taylor and"/>
    <x v="1"/>
    <n v="8726.7000000000007"/>
    <n v="164"/>
    <x v="2"/>
    <d v="2024-03-02T00:00:00"/>
    <s v="Penicillin"/>
    <x v="1"/>
    <n v="17"/>
    <x v="3"/>
    <s v="Low"/>
    <n v="2"/>
    <x v="0"/>
    <s v="February"/>
  </r>
  <r>
    <s v="KareN GOnZaleZ"/>
    <n v="84"/>
    <x v="0"/>
    <x v="1"/>
    <x v="4"/>
    <d v="2020-09-10T00:00:00"/>
    <s v="Jeffrey Arellano"/>
    <s v="Torres-Johnson"/>
    <x v="4"/>
    <n v="41966.57"/>
    <n v="293"/>
    <x v="0"/>
    <d v="2020-09-21T00:00:00"/>
    <s v="Ibuprofen"/>
    <x v="1"/>
    <n v="11"/>
    <x v="2"/>
    <s v="High"/>
    <n v="9"/>
    <x v="3"/>
    <s v="September"/>
  </r>
  <r>
    <s v="ViNCENt SelLErS"/>
    <n v="84"/>
    <x v="1"/>
    <x v="6"/>
    <x v="4"/>
    <d v="2023-01-24T00:00:00"/>
    <s v="Mary Johnson"/>
    <s v="Inc Mcbride"/>
    <x v="0"/>
    <n v="44255.33"/>
    <n v="102"/>
    <x v="0"/>
    <d v="2023-01-27T00:00:00"/>
    <s v="Lipitor"/>
    <x v="1"/>
    <n v="3"/>
    <x v="2"/>
    <s v="High"/>
    <n v="1"/>
    <x v="4"/>
    <s v="January"/>
  </r>
  <r>
    <s v="brANDon buRKe"/>
    <n v="77"/>
    <x v="0"/>
    <x v="7"/>
    <x v="1"/>
    <d v="2021-10-01T00:00:00"/>
    <s v="Kimberly Key"/>
    <s v="and Dunlap, Wright Mays"/>
    <x v="3"/>
    <n v="43644.34"/>
    <n v="298"/>
    <x v="1"/>
    <d v="2021-10-23T00:00:00"/>
    <s v="Paracetamol"/>
    <x v="2"/>
    <n v="22"/>
    <x v="2"/>
    <s v="High"/>
    <n v="10"/>
    <x v="5"/>
    <s v="October"/>
  </r>
  <r>
    <s v="MR. MArK hANCocK"/>
    <n v="60"/>
    <x v="0"/>
    <x v="3"/>
    <x v="5"/>
    <d v="2021-06-05T00:00:00"/>
    <s v="Tara Lopez"/>
    <s v="Sullivan-Crosby"/>
    <x v="0"/>
    <n v="45304.39"/>
    <n v="424"/>
    <x v="2"/>
    <d v="2021-06-11T00:00:00"/>
    <s v="Penicillin"/>
    <x v="1"/>
    <n v="6"/>
    <x v="1"/>
    <s v="High"/>
    <n v="6"/>
    <x v="5"/>
    <s v="June"/>
  </r>
  <r>
    <s v="kenNETH PEReZ"/>
    <n v="48"/>
    <x v="0"/>
    <x v="3"/>
    <x v="5"/>
    <d v="2023-08-09T00:00:00"/>
    <s v="Angela Lara"/>
    <s v="and Shaw, Davis Pollard"/>
    <x v="3"/>
    <n v="18891.919999999998"/>
    <n v="274"/>
    <x v="0"/>
    <d v="2023-08-26T00:00:00"/>
    <s v="Paracetamol"/>
    <x v="1"/>
    <n v="17"/>
    <x v="3"/>
    <s v="Medium"/>
    <n v="8"/>
    <x v="4"/>
    <s v="August"/>
  </r>
  <r>
    <s v="MArtiN haNsEn"/>
    <n v="80"/>
    <x v="1"/>
    <x v="0"/>
    <x v="3"/>
    <d v="2020-12-22T00:00:00"/>
    <s v="Laurie Brewer"/>
    <s v="Williams LLC"/>
    <x v="2"/>
    <n v="18381.580000000002"/>
    <n v="261"/>
    <x v="0"/>
    <d v="2021-01-16T00:00:00"/>
    <s v="Ibuprofen"/>
    <x v="0"/>
    <n v="25"/>
    <x v="2"/>
    <s v="Medium"/>
    <n v="12"/>
    <x v="3"/>
    <s v="December"/>
  </r>
  <r>
    <s v="susAn bROWN"/>
    <n v="46"/>
    <x v="0"/>
    <x v="1"/>
    <x v="4"/>
    <d v="2022-06-21T00:00:00"/>
    <s v="Margaret Hensley DVM"/>
    <s v="Franklin Ltd"/>
    <x v="4"/>
    <n v="42316.12"/>
    <n v="360"/>
    <x v="2"/>
    <d v="2022-07-10T00:00:00"/>
    <s v="Paracetamol"/>
    <x v="1"/>
    <n v="19"/>
    <x v="3"/>
    <s v="High"/>
    <n v="6"/>
    <x v="2"/>
    <s v="June"/>
  </r>
  <r>
    <s v="niCOle ALVAraDO"/>
    <n v="38"/>
    <x v="0"/>
    <x v="0"/>
    <x v="5"/>
    <d v="2021-05-05T00:00:00"/>
    <s v="Adam Bowers"/>
    <s v="Galloway-Barnett"/>
    <x v="1"/>
    <n v="15072.57"/>
    <n v="321"/>
    <x v="2"/>
    <d v="2021-05-15T00:00:00"/>
    <s v="Penicillin"/>
    <x v="2"/>
    <n v="10"/>
    <x v="3"/>
    <s v="Medium"/>
    <n v="5"/>
    <x v="5"/>
    <s v="May"/>
  </r>
  <r>
    <s v="JeSsicA RodRiGUeZ"/>
    <n v="72"/>
    <x v="1"/>
    <x v="2"/>
    <x v="3"/>
    <d v="2024-04-20T00:00:00"/>
    <s v="Renee Odom"/>
    <s v="Miller Olson, and Collins"/>
    <x v="4"/>
    <n v="7380.73"/>
    <n v="124"/>
    <x v="2"/>
    <d v="2024-05-10T00:00:00"/>
    <s v="Aspirin"/>
    <x v="0"/>
    <n v="20"/>
    <x v="2"/>
    <s v="Low"/>
    <n v="4"/>
    <x v="0"/>
    <s v="April"/>
  </r>
  <r>
    <s v="tiNA PriCE"/>
    <n v="70"/>
    <x v="1"/>
    <x v="1"/>
    <x v="3"/>
    <d v="2022-06-13T00:00:00"/>
    <s v="Amanda Morris"/>
    <s v="Wheeler and Miller Burch,"/>
    <x v="3"/>
    <n v="5936.36"/>
    <n v="117"/>
    <x v="2"/>
    <d v="2022-07-05T00:00:00"/>
    <s v="Lipitor"/>
    <x v="2"/>
    <n v="22"/>
    <x v="1"/>
    <s v="Low"/>
    <n v="6"/>
    <x v="2"/>
    <s v="June"/>
  </r>
  <r>
    <s v="mR. jaCk wIlliS"/>
    <n v="46"/>
    <x v="1"/>
    <x v="3"/>
    <x v="4"/>
    <d v="2023-09-01T00:00:00"/>
    <s v="Gregory Oneill"/>
    <s v="Mercer-Booker"/>
    <x v="4"/>
    <n v="7704.3"/>
    <n v="331"/>
    <x v="1"/>
    <d v="2023-09-18T00:00:00"/>
    <s v="Penicillin"/>
    <x v="2"/>
    <n v="17"/>
    <x v="3"/>
    <s v="Low"/>
    <n v="9"/>
    <x v="4"/>
    <s v="September"/>
  </r>
  <r>
    <s v="GreGoRY aDAMS"/>
    <n v="82"/>
    <x v="0"/>
    <x v="4"/>
    <x v="0"/>
    <d v="2020-03-14T00:00:00"/>
    <s v="Erika Smith"/>
    <s v="and Burke Skinner Myers,"/>
    <x v="0"/>
    <n v="12099.79"/>
    <n v="440"/>
    <x v="0"/>
    <d v="2020-04-01T00:00:00"/>
    <s v="Penicillin"/>
    <x v="0"/>
    <n v="18"/>
    <x v="2"/>
    <s v="Medium"/>
    <n v="3"/>
    <x v="3"/>
    <s v="March"/>
  </r>
  <r>
    <s v="DAVId RObErtS"/>
    <n v="44"/>
    <x v="1"/>
    <x v="1"/>
    <x v="4"/>
    <d v="2022-06-05T00:00:00"/>
    <s v="Michelle Harmon"/>
    <s v="and Parker, Stout Chase"/>
    <x v="0"/>
    <n v="17202.900000000001"/>
    <n v="308"/>
    <x v="2"/>
    <d v="2022-06-29T00:00:00"/>
    <s v="Ibuprofen"/>
    <x v="1"/>
    <n v="24"/>
    <x v="3"/>
    <s v="Medium"/>
    <n v="6"/>
    <x v="2"/>
    <s v="June"/>
  </r>
  <r>
    <s v="COry PERry"/>
    <n v="34"/>
    <x v="1"/>
    <x v="3"/>
    <x v="3"/>
    <d v="2019-12-19T00:00:00"/>
    <s v="Shane Russell"/>
    <s v="Fernandez Harris, and Wilson"/>
    <x v="3"/>
    <n v="25275.94"/>
    <n v="475"/>
    <x v="0"/>
    <d v="2020-01-16T00:00:00"/>
    <s v="Ibuprofen"/>
    <x v="1"/>
    <n v="28"/>
    <x v="0"/>
    <s v="Medium"/>
    <n v="12"/>
    <x v="1"/>
    <s v="December"/>
  </r>
  <r>
    <s v="JeSsica BarrY"/>
    <n v="49"/>
    <x v="0"/>
    <x v="2"/>
    <x v="4"/>
    <d v="2020-12-06T00:00:00"/>
    <s v="Rhonda Miller"/>
    <s v="Young-Myers"/>
    <x v="2"/>
    <n v="17002.3"/>
    <n v="194"/>
    <x v="1"/>
    <d v="2020-12-09T00:00:00"/>
    <s v="Ibuprofen"/>
    <x v="0"/>
    <n v="3"/>
    <x v="3"/>
    <s v="Medium"/>
    <n v="12"/>
    <x v="3"/>
    <s v="December"/>
  </r>
  <r>
    <s v="cyNthIA thOmAs"/>
    <n v="44"/>
    <x v="1"/>
    <x v="6"/>
    <x v="0"/>
    <d v="2019-05-13T00:00:00"/>
    <s v="Aaron Turner"/>
    <s v="Johnson PLC"/>
    <x v="1"/>
    <n v="4794.75"/>
    <n v="382"/>
    <x v="1"/>
    <d v="2019-06-10T00:00:00"/>
    <s v="Paracetamol"/>
    <x v="1"/>
    <n v="28"/>
    <x v="3"/>
    <s v="Low"/>
    <n v="5"/>
    <x v="1"/>
    <s v="May"/>
  </r>
  <r>
    <s v="sHannOn JOHnSOn"/>
    <n v="37"/>
    <x v="0"/>
    <x v="2"/>
    <x v="4"/>
    <d v="2023-01-17T00:00:00"/>
    <s v="Angela Anderson"/>
    <s v="Barber Waters Castillo, and"/>
    <x v="4"/>
    <n v="7241.2"/>
    <n v="316"/>
    <x v="2"/>
    <d v="2023-02-05T00:00:00"/>
    <s v="Penicillin"/>
    <x v="0"/>
    <n v="19"/>
    <x v="3"/>
    <s v="Low"/>
    <n v="1"/>
    <x v="4"/>
    <s v="January"/>
  </r>
  <r>
    <s v="jUSTIn whITE"/>
    <n v="37"/>
    <x v="0"/>
    <x v="5"/>
    <x v="5"/>
    <d v="2022-07-28T00:00:00"/>
    <s v="Caitlin Jackson"/>
    <s v="Jarvis-Craig"/>
    <x v="2"/>
    <n v="45218.74"/>
    <n v="346"/>
    <x v="2"/>
    <d v="2022-08-16T00:00:00"/>
    <s v="Aspirin"/>
    <x v="2"/>
    <n v="19"/>
    <x v="3"/>
    <s v="High"/>
    <n v="7"/>
    <x v="2"/>
    <s v="July"/>
  </r>
  <r>
    <s v="reGINA sTewarT"/>
    <n v="58"/>
    <x v="1"/>
    <x v="3"/>
    <x v="2"/>
    <d v="2022-10-15T00:00:00"/>
    <s v="Jeremy Stout"/>
    <s v="Schneider-Patton"/>
    <x v="4"/>
    <n v="32052.06"/>
    <n v="109"/>
    <x v="0"/>
    <d v="2022-11-05T00:00:00"/>
    <s v="Ibuprofen"/>
    <x v="2"/>
    <n v="21"/>
    <x v="1"/>
    <s v="High"/>
    <n v="10"/>
    <x v="2"/>
    <s v="October"/>
  </r>
  <r>
    <s v="chelsEa FInLeY"/>
    <n v="20"/>
    <x v="1"/>
    <x v="1"/>
    <x v="1"/>
    <d v="2020-05-25T00:00:00"/>
    <s v="Michele Warren"/>
    <s v="Kane Porter and Robinson,"/>
    <x v="1"/>
    <n v="30718.55"/>
    <n v="226"/>
    <x v="2"/>
    <d v="2020-06-06T00:00:00"/>
    <s v="Ibuprofen"/>
    <x v="0"/>
    <n v="12"/>
    <x v="0"/>
    <s v="High"/>
    <n v="5"/>
    <x v="3"/>
    <s v="May"/>
  </r>
  <r>
    <s v="emmA beNNeTt"/>
    <n v="43"/>
    <x v="0"/>
    <x v="2"/>
    <x v="1"/>
    <d v="2021-02-13T00:00:00"/>
    <s v="Eric English"/>
    <s v="Archer Inc"/>
    <x v="3"/>
    <n v="51441.73"/>
    <n v="449"/>
    <x v="0"/>
    <d v="2021-03-03T00:00:00"/>
    <s v="Aspirin"/>
    <x v="2"/>
    <n v="18"/>
    <x v="3"/>
    <s v="High"/>
    <n v="2"/>
    <x v="5"/>
    <s v="February"/>
  </r>
  <r>
    <s v="AlaN lEe"/>
    <n v="57"/>
    <x v="1"/>
    <x v="5"/>
    <x v="0"/>
    <d v="2023-05-31T00:00:00"/>
    <s v="Shirley Armstrong"/>
    <s v="Castaneda-Powell"/>
    <x v="0"/>
    <n v="1821.35"/>
    <n v="379"/>
    <x v="1"/>
    <d v="2023-06-25T00:00:00"/>
    <s v="Penicillin"/>
    <x v="1"/>
    <n v="25"/>
    <x v="1"/>
    <s v="Low"/>
    <n v="5"/>
    <x v="4"/>
    <s v="May"/>
  </r>
  <r>
    <s v="KatELYn MiLler"/>
    <n v="76"/>
    <x v="0"/>
    <x v="4"/>
    <x v="5"/>
    <d v="2020-01-18T00:00:00"/>
    <s v="Mary Miller"/>
    <s v="King, Williams and Terry"/>
    <x v="2"/>
    <n v="23857.5"/>
    <n v="214"/>
    <x v="0"/>
    <d v="2020-01-26T00:00:00"/>
    <s v="Paracetamol"/>
    <x v="1"/>
    <n v="8"/>
    <x v="2"/>
    <s v="Medium"/>
    <n v="1"/>
    <x v="3"/>
    <s v="January"/>
  </r>
  <r>
    <s v="aManda morriS"/>
    <n v="53"/>
    <x v="1"/>
    <x v="0"/>
    <x v="0"/>
    <d v="2020-08-19T00:00:00"/>
    <s v="Steve Anderson"/>
    <s v="Henry PLC"/>
    <x v="4"/>
    <n v="4795.51"/>
    <n v="152"/>
    <x v="0"/>
    <d v="2020-08-28T00:00:00"/>
    <s v="Penicillin"/>
    <x v="2"/>
    <n v="9"/>
    <x v="3"/>
    <s v="Low"/>
    <n v="8"/>
    <x v="3"/>
    <s v="August"/>
  </r>
  <r>
    <s v="dAvID pRatt"/>
    <n v="45"/>
    <x v="0"/>
    <x v="2"/>
    <x v="2"/>
    <d v="2022-12-24T00:00:00"/>
    <s v="Candice Harris"/>
    <s v="and Carpenter, Hernandez Chang"/>
    <x v="3"/>
    <n v="25500.71"/>
    <n v="415"/>
    <x v="1"/>
    <d v="2023-01-22T00:00:00"/>
    <s v="Ibuprofen"/>
    <x v="0"/>
    <n v="29"/>
    <x v="3"/>
    <s v="Medium"/>
    <n v="12"/>
    <x v="2"/>
    <s v="December"/>
  </r>
  <r>
    <s v="MAtTheW cunnINGHAm"/>
    <n v="21"/>
    <x v="1"/>
    <x v="3"/>
    <x v="3"/>
    <d v="2020-09-05T00:00:00"/>
    <s v="Rhonda Lucas"/>
    <s v="Santiago-Bush"/>
    <x v="2"/>
    <n v="10837.61"/>
    <n v="261"/>
    <x v="1"/>
    <d v="2020-09-25T00:00:00"/>
    <s v="Aspirin"/>
    <x v="0"/>
    <n v="20"/>
    <x v="0"/>
    <s v="Medium"/>
    <n v="9"/>
    <x v="3"/>
    <s v="September"/>
  </r>
  <r>
    <s v="bObBY CarSoN"/>
    <n v="64"/>
    <x v="0"/>
    <x v="2"/>
    <x v="5"/>
    <d v="2022-09-10T00:00:00"/>
    <s v="Cody Mcintyre"/>
    <s v="Williams Hale and Summers,"/>
    <x v="2"/>
    <n v="46836.71"/>
    <n v="234"/>
    <x v="2"/>
    <d v="2022-09-22T00:00:00"/>
    <s v="Paracetamol"/>
    <x v="0"/>
    <n v="12"/>
    <x v="1"/>
    <s v="High"/>
    <n v="9"/>
    <x v="2"/>
    <s v="September"/>
  </r>
  <r>
    <s v="meliNda WIlSOn"/>
    <n v="71"/>
    <x v="0"/>
    <x v="5"/>
    <x v="2"/>
    <d v="2021-04-26T00:00:00"/>
    <s v="Scott Adams DDS"/>
    <s v="Ltd Carroll"/>
    <x v="3"/>
    <n v="11426.01"/>
    <n v="169"/>
    <x v="1"/>
    <d v="2021-05-04T00:00:00"/>
    <s v="Aspirin"/>
    <x v="2"/>
    <n v="8"/>
    <x v="2"/>
    <s v="Medium"/>
    <n v="4"/>
    <x v="5"/>
    <s v="April"/>
  </r>
  <r>
    <s v="NancY HaNSEn"/>
    <n v="28"/>
    <x v="1"/>
    <x v="7"/>
    <x v="2"/>
    <d v="2024-01-20T00:00:00"/>
    <s v="Jason Dixon"/>
    <s v="Stevenson, Harding and Woods"/>
    <x v="4"/>
    <n v="20590.52"/>
    <n v="105"/>
    <x v="0"/>
    <d v="2024-01-28T00:00:00"/>
    <s v="Penicillin"/>
    <x v="0"/>
    <n v="8"/>
    <x v="0"/>
    <s v="Medium"/>
    <n v="1"/>
    <x v="0"/>
    <s v="January"/>
  </r>
  <r>
    <s v="gReGoRY wALlS"/>
    <n v="79"/>
    <x v="0"/>
    <x v="2"/>
    <x v="4"/>
    <d v="2021-03-05T00:00:00"/>
    <s v="Larry Williams"/>
    <s v="Munoz Ltd"/>
    <x v="2"/>
    <n v="28100.09"/>
    <n v="349"/>
    <x v="1"/>
    <d v="2021-03-15T00:00:00"/>
    <s v="Lipitor"/>
    <x v="0"/>
    <n v="10"/>
    <x v="2"/>
    <s v="Medium"/>
    <n v="3"/>
    <x v="5"/>
    <s v="March"/>
  </r>
  <r>
    <s v="aMBer NiXoN"/>
    <n v="40"/>
    <x v="0"/>
    <x v="3"/>
    <x v="5"/>
    <d v="2020-12-27T00:00:00"/>
    <s v="Candice Gray"/>
    <s v="LLC Hernandez"/>
    <x v="4"/>
    <n v="33188.93"/>
    <n v="107"/>
    <x v="0"/>
    <d v="2021-01-23T00:00:00"/>
    <s v="Penicillin"/>
    <x v="2"/>
    <n v="27"/>
    <x v="3"/>
    <s v="High"/>
    <n v="12"/>
    <x v="3"/>
    <s v="December"/>
  </r>
  <r>
    <s v="KriStIn fRancO"/>
    <n v="50"/>
    <x v="1"/>
    <x v="4"/>
    <x v="3"/>
    <d v="2021-09-22T00:00:00"/>
    <s v="Michael Richardson"/>
    <s v="Kidd Romero, and Douglas"/>
    <x v="3"/>
    <n v="47130.03"/>
    <n v="311"/>
    <x v="0"/>
    <d v="2021-10-15T00:00:00"/>
    <s v="Lipitor"/>
    <x v="2"/>
    <n v="23"/>
    <x v="3"/>
    <s v="High"/>
    <n v="9"/>
    <x v="5"/>
    <s v="September"/>
  </r>
  <r>
    <s v="JEremIAH vAZQuEz"/>
    <n v="64"/>
    <x v="1"/>
    <x v="0"/>
    <x v="0"/>
    <d v="2023-05-01T00:00:00"/>
    <s v="Megan Allen"/>
    <s v="and Cordova Sons"/>
    <x v="4"/>
    <n v="20361.87"/>
    <n v="366"/>
    <x v="0"/>
    <d v="2023-05-31T00:00:00"/>
    <s v="Lipitor"/>
    <x v="2"/>
    <n v="30"/>
    <x v="1"/>
    <s v="Medium"/>
    <n v="5"/>
    <x v="4"/>
    <s v="May"/>
  </r>
  <r>
    <s v="AnthONy SmITH"/>
    <n v="81"/>
    <x v="0"/>
    <x v="3"/>
    <x v="1"/>
    <d v="2019-05-12T00:00:00"/>
    <s v="Jonathan Crawford"/>
    <s v="Garcia-Clark"/>
    <x v="2"/>
    <n v="11229.76"/>
    <n v="425"/>
    <x v="1"/>
    <d v="2019-05-23T00:00:00"/>
    <s v="Penicillin"/>
    <x v="2"/>
    <n v="11"/>
    <x v="2"/>
    <s v="Medium"/>
    <n v="5"/>
    <x v="1"/>
    <s v="May"/>
  </r>
  <r>
    <s v="vIcToRiA brADy"/>
    <n v="52"/>
    <x v="1"/>
    <x v="3"/>
    <x v="4"/>
    <d v="2021-02-22T00:00:00"/>
    <s v="Benjamin Cruz"/>
    <s v="Robinson Group"/>
    <x v="1"/>
    <n v="6969.09"/>
    <n v="379"/>
    <x v="1"/>
    <d v="2021-03-15T00:00:00"/>
    <s v="Penicillin"/>
    <x v="0"/>
    <n v="21"/>
    <x v="3"/>
    <s v="Low"/>
    <n v="2"/>
    <x v="5"/>
    <s v="February"/>
  </r>
  <r>
    <s v="erIN cLaRk"/>
    <n v="76"/>
    <x v="0"/>
    <x v="6"/>
    <x v="1"/>
    <d v="2022-03-10T00:00:00"/>
    <s v="Tracy Marks"/>
    <s v="Hayes Ryan, and Martinez"/>
    <x v="0"/>
    <n v="31405.58"/>
    <n v="103"/>
    <x v="0"/>
    <d v="2022-03-18T00:00:00"/>
    <s v="Aspirin"/>
    <x v="1"/>
    <n v="8"/>
    <x v="2"/>
    <s v="High"/>
    <n v="3"/>
    <x v="2"/>
    <s v="March"/>
  </r>
  <r>
    <s v="hEAtHer BOyLe"/>
    <n v="52"/>
    <x v="0"/>
    <x v="6"/>
    <x v="1"/>
    <d v="2022-10-23T00:00:00"/>
    <s v="Nathan Benjamin"/>
    <s v="Glover and Oneill Miller,"/>
    <x v="4"/>
    <n v="22976.91"/>
    <n v="309"/>
    <x v="1"/>
    <d v="2022-11-03T00:00:00"/>
    <s v="Aspirin"/>
    <x v="2"/>
    <n v="11"/>
    <x v="3"/>
    <s v="Medium"/>
    <n v="10"/>
    <x v="2"/>
    <s v="October"/>
  </r>
  <r>
    <s v="eLiZAbeTH ShEPPARd"/>
    <n v="77"/>
    <x v="1"/>
    <x v="7"/>
    <x v="0"/>
    <d v="2024-03-13T00:00:00"/>
    <s v="Sara Cole"/>
    <s v="Diaz Inc"/>
    <x v="2"/>
    <n v="32136.51"/>
    <n v="384"/>
    <x v="1"/>
    <d v="2024-03-29T00:00:00"/>
    <s v="Penicillin"/>
    <x v="1"/>
    <n v="16"/>
    <x v="2"/>
    <s v="High"/>
    <n v="3"/>
    <x v="0"/>
    <s v="March"/>
  </r>
  <r>
    <s v="roBErT boOne"/>
    <n v="81"/>
    <x v="0"/>
    <x v="4"/>
    <x v="4"/>
    <d v="2019-08-06T00:00:00"/>
    <s v="Sara Warner"/>
    <s v="Martin-Nguyen"/>
    <x v="3"/>
    <n v="39313.89"/>
    <n v="448"/>
    <x v="2"/>
    <d v="2019-08-16T00:00:00"/>
    <s v="Lipitor"/>
    <x v="0"/>
    <n v="10"/>
    <x v="2"/>
    <s v="High"/>
    <n v="8"/>
    <x v="1"/>
    <s v="August"/>
  </r>
  <r>
    <s v="geoFFrEy DANiELs"/>
    <n v="36"/>
    <x v="0"/>
    <x v="0"/>
    <x v="1"/>
    <d v="2020-09-15T00:00:00"/>
    <s v="Stanley Moreno"/>
    <s v="Roberts Inc"/>
    <x v="4"/>
    <n v="5624.29"/>
    <n v="380"/>
    <x v="1"/>
    <d v="2020-09-26T00:00:00"/>
    <s v="Paracetamol"/>
    <x v="1"/>
    <n v="11"/>
    <x v="3"/>
    <s v="Low"/>
    <n v="9"/>
    <x v="3"/>
    <s v="September"/>
  </r>
  <r>
    <s v="joHN khAn"/>
    <n v="72"/>
    <x v="1"/>
    <x v="4"/>
    <x v="0"/>
    <d v="2019-10-31T00:00:00"/>
    <s v="Nina Smith"/>
    <s v="Riley, Grimes Ruiz and"/>
    <x v="0"/>
    <n v="5823.05"/>
    <n v="219"/>
    <x v="2"/>
    <d v="2019-11-03T00:00:00"/>
    <s v="Lipitor"/>
    <x v="1"/>
    <n v="3"/>
    <x v="2"/>
    <s v="Low"/>
    <n v="10"/>
    <x v="1"/>
    <s v="October"/>
  </r>
  <r>
    <s v="ChrISTopheR aRmSTRoNg"/>
    <n v="70"/>
    <x v="0"/>
    <x v="7"/>
    <x v="2"/>
    <d v="2020-09-07T00:00:00"/>
    <s v="Justin Nguyen"/>
    <s v="Ltd Rogers"/>
    <x v="2"/>
    <n v="11628.62"/>
    <n v="332"/>
    <x v="0"/>
    <d v="2020-09-19T00:00:00"/>
    <s v="Lipitor"/>
    <x v="1"/>
    <n v="12"/>
    <x v="1"/>
    <s v="Medium"/>
    <n v="9"/>
    <x v="3"/>
    <s v="September"/>
  </r>
  <r>
    <s v="JeNNiFER lopez"/>
    <n v="44"/>
    <x v="1"/>
    <x v="7"/>
    <x v="5"/>
    <d v="2021-08-27T00:00:00"/>
    <s v="Michele Ramos"/>
    <s v="Gomez Inc"/>
    <x v="1"/>
    <n v="8104.67"/>
    <n v="174"/>
    <x v="2"/>
    <d v="2021-09-24T00:00:00"/>
    <s v="Lipitor"/>
    <x v="1"/>
    <n v="28"/>
    <x v="3"/>
    <s v="Low"/>
    <n v="8"/>
    <x v="5"/>
    <s v="August"/>
  </r>
  <r>
    <s v="mELISSa ROBerTson"/>
    <n v="81"/>
    <x v="1"/>
    <x v="2"/>
    <x v="5"/>
    <d v="2019-12-21T00:00:00"/>
    <s v="James Harris"/>
    <s v="PLC Mack"/>
    <x v="4"/>
    <n v="12093.09"/>
    <n v="246"/>
    <x v="1"/>
    <d v="2020-01-15T00:00:00"/>
    <s v="Aspirin"/>
    <x v="1"/>
    <n v="25"/>
    <x v="2"/>
    <s v="Medium"/>
    <n v="12"/>
    <x v="1"/>
    <s v="December"/>
  </r>
  <r>
    <s v="KAren PriCE"/>
    <n v="41"/>
    <x v="0"/>
    <x v="0"/>
    <x v="5"/>
    <d v="2019-09-23T00:00:00"/>
    <s v="Carla Burgess"/>
    <s v="Castro-Gomez"/>
    <x v="1"/>
    <n v="29465.82"/>
    <n v="271"/>
    <x v="0"/>
    <d v="2019-09-26T00:00:00"/>
    <s v="Lipitor"/>
    <x v="2"/>
    <n v="3"/>
    <x v="3"/>
    <s v="Medium"/>
    <n v="9"/>
    <x v="1"/>
    <s v="September"/>
  </r>
  <r>
    <s v="LiSa fRanKLin"/>
    <n v="32"/>
    <x v="1"/>
    <x v="1"/>
    <x v="5"/>
    <d v="2022-05-21T00:00:00"/>
    <s v="Luke York"/>
    <s v="Chan, Goodman and Gould"/>
    <x v="4"/>
    <n v="22545.93"/>
    <n v="294"/>
    <x v="1"/>
    <d v="2022-05-25T00:00:00"/>
    <s v="Penicillin"/>
    <x v="1"/>
    <n v="4"/>
    <x v="0"/>
    <s v="Medium"/>
    <n v="5"/>
    <x v="2"/>
    <s v="May"/>
  </r>
  <r>
    <s v="KRisTIN BURtoN"/>
    <n v="58"/>
    <x v="1"/>
    <x v="0"/>
    <x v="1"/>
    <d v="2019-12-29T00:00:00"/>
    <s v="Whitney Phillips"/>
    <s v="Russell and Randolph, Lawrence"/>
    <x v="1"/>
    <n v="2641.02"/>
    <n v="234"/>
    <x v="2"/>
    <d v="2020-01-04T00:00:00"/>
    <s v="Aspirin"/>
    <x v="0"/>
    <n v="6"/>
    <x v="1"/>
    <s v="Low"/>
    <n v="12"/>
    <x v="1"/>
    <s v="December"/>
  </r>
  <r>
    <s v="caiTLin aDAms"/>
    <n v="33"/>
    <x v="0"/>
    <x v="2"/>
    <x v="5"/>
    <d v="2020-04-03T00:00:00"/>
    <s v="Daniel Johnson"/>
    <s v="Evans-Gonzalez"/>
    <x v="4"/>
    <n v="16527.259999999998"/>
    <n v="395"/>
    <x v="2"/>
    <d v="2020-04-04T00:00:00"/>
    <s v="Penicillin"/>
    <x v="1"/>
    <n v="1"/>
    <x v="0"/>
    <s v="Medium"/>
    <n v="4"/>
    <x v="3"/>
    <s v="April"/>
  </r>
  <r>
    <s v="EvaN HeRnANDez"/>
    <n v="80"/>
    <x v="0"/>
    <x v="1"/>
    <x v="0"/>
    <d v="2022-12-15T00:00:00"/>
    <s v="Audrey Lewis"/>
    <s v="Miller Sons and"/>
    <x v="1"/>
    <n v="13624.83"/>
    <n v="363"/>
    <x v="0"/>
    <d v="2022-12-28T00:00:00"/>
    <s v="Paracetamol"/>
    <x v="1"/>
    <n v="13"/>
    <x v="2"/>
    <s v="Medium"/>
    <n v="12"/>
    <x v="2"/>
    <s v="December"/>
  </r>
  <r>
    <s v="jEnNiFer KNiGht"/>
    <n v="67"/>
    <x v="0"/>
    <x v="7"/>
    <x v="1"/>
    <d v="2020-08-07T00:00:00"/>
    <s v="Donald Wagner"/>
    <s v="Watts-Schneider"/>
    <x v="2"/>
    <n v="39570.07"/>
    <n v="161"/>
    <x v="0"/>
    <d v="2020-08-09T00:00:00"/>
    <s v="Aspirin"/>
    <x v="1"/>
    <n v="2"/>
    <x v="1"/>
    <s v="High"/>
    <n v="8"/>
    <x v="3"/>
    <s v="August"/>
  </r>
  <r>
    <s v="BOnnIE WiLSon"/>
    <n v="39"/>
    <x v="0"/>
    <x v="2"/>
    <x v="2"/>
    <d v="2022-03-19T00:00:00"/>
    <s v="Lisa Fisher"/>
    <s v="Harrell Inc"/>
    <x v="2"/>
    <n v="13256.41"/>
    <n v="146"/>
    <x v="0"/>
    <d v="2022-03-20T00:00:00"/>
    <s v="Paracetamol"/>
    <x v="0"/>
    <n v="1"/>
    <x v="3"/>
    <s v="Medium"/>
    <n v="3"/>
    <x v="2"/>
    <s v="March"/>
  </r>
  <r>
    <s v="kEnnETh raMIREZ"/>
    <n v="52"/>
    <x v="0"/>
    <x v="1"/>
    <x v="5"/>
    <d v="2024-03-10T00:00:00"/>
    <s v="Amber Williams"/>
    <s v="Reed Valdez and Pratt,"/>
    <x v="1"/>
    <n v="32633.200000000001"/>
    <n v="484"/>
    <x v="1"/>
    <d v="2024-03-26T00:00:00"/>
    <s v="Aspirin"/>
    <x v="0"/>
    <n v="16"/>
    <x v="3"/>
    <s v="High"/>
    <n v="3"/>
    <x v="0"/>
    <s v="March"/>
  </r>
  <r>
    <s v="ELleN mCCuLloUgh"/>
    <n v="49"/>
    <x v="0"/>
    <x v="5"/>
    <x v="5"/>
    <d v="2019-11-29T00:00:00"/>
    <s v="Patrick Medina"/>
    <s v="Ali Group"/>
    <x v="0"/>
    <n v="19720.04"/>
    <n v="114"/>
    <x v="1"/>
    <d v="2019-11-30T00:00:00"/>
    <s v="Lipitor"/>
    <x v="0"/>
    <n v="1"/>
    <x v="3"/>
    <s v="Medium"/>
    <n v="11"/>
    <x v="1"/>
    <s v="November"/>
  </r>
  <r>
    <s v="THomAS SToNe"/>
    <n v="41"/>
    <x v="0"/>
    <x v="0"/>
    <x v="4"/>
    <d v="2019-07-17T00:00:00"/>
    <s v="Sheri Castro"/>
    <s v="Conner-Nelson"/>
    <x v="0"/>
    <n v="46421.26"/>
    <n v="124"/>
    <x v="1"/>
    <d v="2019-08-12T00:00:00"/>
    <s v="Paracetamol"/>
    <x v="2"/>
    <n v="26"/>
    <x v="3"/>
    <s v="High"/>
    <n v="7"/>
    <x v="1"/>
    <s v="July"/>
  </r>
  <r>
    <s v="katHLEEn ArMstrong"/>
    <n v="81"/>
    <x v="1"/>
    <x v="7"/>
    <x v="4"/>
    <d v="2020-05-27T00:00:00"/>
    <s v="Crystal Thornton"/>
    <s v="and Miller Prince Rodriguez,"/>
    <x v="0"/>
    <n v="10767.38"/>
    <n v="126"/>
    <x v="2"/>
    <d v="2020-06-12T00:00:00"/>
    <s v="Aspirin"/>
    <x v="0"/>
    <n v="16"/>
    <x v="2"/>
    <s v="Medium"/>
    <n v="5"/>
    <x v="3"/>
    <s v="May"/>
  </r>
  <r>
    <s v="tErrY BEnnetT"/>
    <n v="19"/>
    <x v="1"/>
    <x v="2"/>
    <x v="4"/>
    <d v="2019-09-06T00:00:00"/>
    <s v="Kimberly Carter"/>
    <s v="Parker Davis Clark, and"/>
    <x v="0"/>
    <n v="47656.52"/>
    <n v="286"/>
    <x v="1"/>
    <d v="2019-10-01T00:00:00"/>
    <s v="Penicillin"/>
    <x v="1"/>
    <n v="25"/>
    <x v="0"/>
    <s v="High"/>
    <n v="9"/>
    <x v="1"/>
    <s v="September"/>
  </r>
  <r>
    <s v="kRISTIN NGuYeN"/>
    <n v="83"/>
    <x v="0"/>
    <x v="4"/>
    <x v="4"/>
    <d v="2021-04-06T00:00:00"/>
    <s v="Frederick Arnold"/>
    <s v="Mills-Petersen"/>
    <x v="4"/>
    <n v="46186.16"/>
    <n v="114"/>
    <x v="2"/>
    <d v="2021-05-06T00:00:00"/>
    <s v="Ibuprofen"/>
    <x v="2"/>
    <n v="30"/>
    <x v="2"/>
    <s v="High"/>
    <n v="4"/>
    <x v="5"/>
    <s v="April"/>
  </r>
  <r>
    <s v="aNgEla rANdOLph"/>
    <n v="36"/>
    <x v="1"/>
    <x v="3"/>
    <x v="0"/>
    <d v="2019-05-19T00:00:00"/>
    <s v="Anna Atkinson"/>
    <s v="Smith Anderson and Hunt,"/>
    <x v="3"/>
    <n v="44148.54"/>
    <n v="336"/>
    <x v="1"/>
    <d v="2019-05-29T00:00:00"/>
    <s v="Paracetamol"/>
    <x v="2"/>
    <n v="10"/>
    <x v="3"/>
    <s v="High"/>
    <n v="5"/>
    <x v="1"/>
    <s v="May"/>
  </r>
  <r>
    <s v="chrIsTOpHEr tAtE"/>
    <n v="43"/>
    <x v="1"/>
    <x v="2"/>
    <x v="0"/>
    <d v="2023-09-24T00:00:00"/>
    <s v="Mary Coleman"/>
    <s v="Kennedy-Smith"/>
    <x v="4"/>
    <n v="12447.27"/>
    <n v="360"/>
    <x v="2"/>
    <d v="2023-10-20T00:00:00"/>
    <s v="Paracetamol"/>
    <x v="2"/>
    <n v="26"/>
    <x v="3"/>
    <s v="Medium"/>
    <n v="9"/>
    <x v="4"/>
    <s v="September"/>
  </r>
  <r>
    <s v="chrisTopHeR wALToN"/>
    <n v="72"/>
    <x v="0"/>
    <x v="5"/>
    <x v="2"/>
    <d v="2019-09-30T00:00:00"/>
    <s v="Jeremy Parker"/>
    <s v="and Moore, Ballard Johnson"/>
    <x v="4"/>
    <n v="43298.43"/>
    <n v="290"/>
    <x v="0"/>
    <d v="2019-10-10T00:00:00"/>
    <s v="Paracetamol"/>
    <x v="2"/>
    <n v="10"/>
    <x v="2"/>
    <s v="High"/>
    <n v="9"/>
    <x v="1"/>
    <s v="September"/>
  </r>
  <r>
    <s v="mEAGAN MIranDA"/>
    <n v="73"/>
    <x v="1"/>
    <x v="1"/>
    <x v="3"/>
    <d v="2022-07-23T00:00:00"/>
    <s v="Dorothy Garcia"/>
    <s v="Williams Reynolds and Rangel,"/>
    <x v="4"/>
    <n v="33379.550000000003"/>
    <n v="142"/>
    <x v="1"/>
    <d v="2022-08-16T00:00:00"/>
    <s v="Ibuprofen"/>
    <x v="2"/>
    <n v="24"/>
    <x v="2"/>
    <s v="High"/>
    <n v="7"/>
    <x v="2"/>
    <s v="July"/>
  </r>
  <r>
    <s v="dAvId BrOwn"/>
    <n v="32"/>
    <x v="0"/>
    <x v="5"/>
    <x v="0"/>
    <d v="2020-05-11T00:00:00"/>
    <s v="John Sanders"/>
    <s v="Shelton Johnson, and Green"/>
    <x v="0"/>
    <n v="37553.160000000003"/>
    <n v="256"/>
    <x v="1"/>
    <d v="2020-06-06T00:00:00"/>
    <s v="Aspirin"/>
    <x v="1"/>
    <n v="26"/>
    <x v="0"/>
    <s v="High"/>
    <n v="5"/>
    <x v="3"/>
    <s v="May"/>
  </r>
  <r>
    <s v="EriC MilleR"/>
    <n v="39"/>
    <x v="0"/>
    <x v="3"/>
    <x v="3"/>
    <d v="2019-08-01T00:00:00"/>
    <s v="Ashlee Cooper"/>
    <s v="Lopez, and Howard Morrison"/>
    <x v="2"/>
    <n v="44931.13"/>
    <n v="194"/>
    <x v="2"/>
    <d v="2019-08-08T00:00:00"/>
    <s v="Penicillin"/>
    <x v="0"/>
    <n v="7"/>
    <x v="3"/>
    <s v="High"/>
    <n v="8"/>
    <x v="1"/>
    <s v="August"/>
  </r>
  <r>
    <s v="JoeL BaRTlEtT"/>
    <n v="72"/>
    <x v="0"/>
    <x v="6"/>
    <x v="3"/>
    <d v="2019-09-06T00:00:00"/>
    <s v="Nicole Vance"/>
    <s v="Sons and Cortez"/>
    <x v="1"/>
    <n v="44595.97"/>
    <n v="203"/>
    <x v="0"/>
    <d v="2019-09-15T00:00:00"/>
    <s v="Lipitor"/>
    <x v="2"/>
    <n v="9"/>
    <x v="2"/>
    <s v="High"/>
    <n v="9"/>
    <x v="1"/>
    <s v="September"/>
  </r>
  <r>
    <s v="stAcY GIlLEspiE"/>
    <n v="24"/>
    <x v="0"/>
    <x v="0"/>
    <x v="0"/>
    <d v="2023-01-28T00:00:00"/>
    <s v="Karen Lynn"/>
    <s v="Roberts Ltd"/>
    <x v="4"/>
    <n v="10243.969999999999"/>
    <n v="383"/>
    <x v="1"/>
    <d v="2023-02-26T00:00:00"/>
    <s v="Penicillin"/>
    <x v="1"/>
    <n v="29"/>
    <x v="0"/>
    <s v="Medium"/>
    <n v="1"/>
    <x v="4"/>
    <s v="January"/>
  </r>
  <r>
    <s v="cINdy SHaW"/>
    <n v="32"/>
    <x v="1"/>
    <x v="7"/>
    <x v="1"/>
    <d v="2023-09-11T00:00:00"/>
    <s v="Rachel Lopez"/>
    <s v="Sellers-Shepard"/>
    <x v="0"/>
    <n v="8762.5"/>
    <n v="454"/>
    <x v="1"/>
    <d v="2023-10-11T00:00:00"/>
    <s v="Penicillin"/>
    <x v="2"/>
    <n v="30"/>
    <x v="0"/>
    <s v="Low"/>
    <n v="9"/>
    <x v="4"/>
    <s v="September"/>
  </r>
  <r>
    <s v="Andrew eriCKsON"/>
    <n v="57"/>
    <x v="1"/>
    <x v="4"/>
    <x v="3"/>
    <d v="2020-03-11T00:00:00"/>
    <s v="Samuel Williams"/>
    <s v="Lloyd Scott, and Reese"/>
    <x v="1"/>
    <n v="10363.67"/>
    <n v="384"/>
    <x v="1"/>
    <d v="2020-03-18T00:00:00"/>
    <s v="Ibuprofen"/>
    <x v="0"/>
    <n v="7"/>
    <x v="1"/>
    <s v="Medium"/>
    <n v="3"/>
    <x v="3"/>
    <s v="March"/>
  </r>
  <r>
    <s v="aShleY roDrIguez"/>
    <n v="56"/>
    <x v="0"/>
    <x v="0"/>
    <x v="3"/>
    <d v="2021-03-07T00:00:00"/>
    <s v="Steven Rogers"/>
    <s v="Gibson-Osborne"/>
    <x v="1"/>
    <n v="22827.81"/>
    <n v="124"/>
    <x v="0"/>
    <d v="2021-03-21T00:00:00"/>
    <s v="Paracetamol"/>
    <x v="2"/>
    <n v="14"/>
    <x v="1"/>
    <s v="Medium"/>
    <n v="3"/>
    <x v="5"/>
    <s v="March"/>
  </r>
  <r>
    <s v="dARrYl CruZ"/>
    <n v="84"/>
    <x v="1"/>
    <x v="3"/>
    <x v="3"/>
    <d v="2024-04-03T00:00:00"/>
    <s v="Melanie Lloyd"/>
    <s v="Matthews-Morgan"/>
    <x v="3"/>
    <n v="22913.35"/>
    <n v="238"/>
    <x v="0"/>
    <d v="2024-04-10T00:00:00"/>
    <s v="Ibuprofen"/>
    <x v="1"/>
    <n v="7"/>
    <x v="2"/>
    <s v="Medium"/>
    <n v="4"/>
    <x v="0"/>
    <s v="April"/>
  </r>
  <r>
    <s v="shEiLA cHurcH"/>
    <n v="46"/>
    <x v="0"/>
    <x v="0"/>
    <x v="0"/>
    <d v="2022-12-25T00:00:00"/>
    <s v="Bobby Mayo"/>
    <s v="Scott and Sons"/>
    <x v="2"/>
    <n v="33800.910000000003"/>
    <n v="437"/>
    <x v="0"/>
    <d v="2023-01-10T00:00:00"/>
    <s v="Penicillin"/>
    <x v="2"/>
    <n v="16"/>
    <x v="3"/>
    <s v="High"/>
    <n v="12"/>
    <x v="2"/>
    <s v="December"/>
  </r>
  <r>
    <s v="NANcY munOZ"/>
    <n v="55"/>
    <x v="0"/>
    <x v="4"/>
    <x v="1"/>
    <d v="2020-04-01T00:00:00"/>
    <s v="Fernando Hodge"/>
    <s v="Diaz-Richards"/>
    <x v="2"/>
    <n v="23713.919999999998"/>
    <n v="187"/>
    <x v="0"/>
    <d v="2020-04-26T00:00:00"/>
    <s v="Ibuprofen"/>
    <x v="1"/>
    <n v="25"/>
    <x v="3"/>
    <s v="Medium"/>
    <n v="4"/>
    <x v="3"/>
    <s v="April"/>
  </r>
  <r>
    <s v="REBeccA MarTinEZ"/>
    <n v="19"/>
    <x v="1"/>
    <x v="1"/>
    <x v="4"/>
    <d v="2020-01-23T00:00:00"/>
    <s v="Valerie Simmons"/>
    <s v="LLC Johnson"/>
    <x v="1"/>
    <n v="41794.36"/>
    <n v="354"/>
    <x v="1"/>
    <d v="2020-02-20T00:00:00"/>
    <s v="Aspirin"/>
    <x v="2"/>
    <n v="28"/>
    <x v="0"/>
    <s v="High"/>
    <n v="1"/>
    <x v="3"/>
    <s v="January"/>
  </r>
  <r>
    <s v="johN SIMmOns"/>
    <n v="69"/>
    <x v="1"/>
    <x v="3"/>
    <x v="2"/>
    <d v="2023-02-10T00:00:00"/>
    <s v="Cheryl Herrera"/>
    <s v="Murphy Group"/>
    <x v="0"/>
    <n v="40304.379999999997"/>
    <n v="449"/>
    <x v="1"/>
    <d v="2023-02-25T00:00:00"/>
    <s v="Paracetamol"/>
    <x v="1"/>
    <n v="15"/>
    <x v="1"/>
    <s v="High"/>
    <n v="2"/>
    <x v="4"/>
    <s v="February"/>
  </r>
  <r>
    <s v="LANce TORREs"/>
    <n v="69"/>
    <x v="1"/>
    <x v="0"/>
    <x v="0"/>
    <d v="2023-10-20T00:00:00"/>
    <s v="John Rodriguez MD"/>
    <s v="Barajas and Byrd, Wolf"/>
    <x v="1"/>
    <n v="43825.06"/>
    <n v="329"/>
    <x v="2"/>
    <d v="2023-10-28T00:00:00"/>
    <s v="Paracetamol"/>
    <x v="0"/>
    <n v="8"/>
    <x v="1"/>
    <s v="High"/>
    <n v="10"/>
    <x v="4"/>
    <s v="October"/>
  </r>
  <r>
    <s v="tImotHy TErrY"/>
    <n v="56"/>
    <x v="0"/>
    <x v="2"/>
    <x v="4"/>
    <d v="2020-07-15T00:00:00"/>
    <s v="Ashley Jackson"/>
    <s v="Salazar Newman White, and"/>
    <x v="1"/>
    <n v="16509.89"/>
    <n v="472"/>
    <x v="1"/>
    <d v="2020-08-11T00:00:00"/>
    <s v="Lipitor"/>
    <x v="1"/>
    <n v="27"/>
    <x v="1"/>
    <s v="Medium"/>
    <n v="7"/>
    <x v="3"/>
    <s v="July"/>
  </r>
  <r>
    <s v="joHn MOorE"/>
    <n v="36"/>
    <x v="1"/>
    <x v="2"/>
    <x v="5"/>
    <d v="2023-01-14T00:00:00"/>
    <s v="Samuel Hebert"/>
    <s v="Hancock-Lewis"/>
    <x v="1"/>
    <n v="46268.73"/>
    <n v="425"/>
    <x v="2"/>
    <d v="2023-02-08T00:00:00"/>
    <s v="Aspirin"/>
    <x v="0"/>
    <n v="25"/>
    <x v="3"/>
    <s v="High"/>
    <n v="1"/>
    <x v="4"/>
    <s v="January"/>
  </r>
  <r>
    <s v="bRAdLeY RAMos"/>
    <n v="44"/>
    <x v="0"/>
    <x v="2"/>
    <x v="5"/>
    <d v="2021-06-19T00:00:00"/>
    <s v="Ryan Garcia"/>
    <s v="Barrett-Wright"/>
    <x v="3"/>
    <n v="36272.75"/>
    <n v="465"/>
    <x v="1"/>
    <d v="2021-07-14T00:00:00"/>
    <s v="Paracetamol"/>
    <x v="0"/>
    <n v="25"/>
    <x v="3"/>
    <s v="High"/>
    <n v="6"/>
    <x v="5"/>
    <s v="June"/>
  </r>
  <r>
    <s v="JIlL TayLOR"/>
    <n v="32"/>
    <x v="0"/>
    <x v="7"/>
    <x v="1"/>
    <d v="2020-05-18T00:00:00"/>
    <s v="Kelli Gutierrez"/>
    <s v="Bowers Blankenship Jackson, and"/>
    <x v="1"/>
    <n v="5614.52"/>
    <n v="169"/>
    <x v="0"/>
    <d v="2020-05-19T00:00:00"/>
    <s v="Aspirin"/>
    <x v="2"/>
    <n v="1"/>
    <x v="0"/>
    <s v="Low"/>
    <n v="5"/>
    <x v="3"/>
    <s v="May"/>
  </r>
  <r>
    <s v="kelLy brown"/>
    <n v="61"/>
    <x v="1"/>
    <x v="0"/>
    <x v="5"/>
    <d v="2020-05-16T00:00:00"/>
    <s v="Kenneth Watson"/>
    <s v="Hahn-Wilson"/>
    <x v="3"/>
    <n v="21429.67"/>
    <n v="493"/>
    <x v="2"/>
    <d v="2020-06-15T00:00:00"/>
    <s v="Ibuprofen"/>
    <x v="2"/>
    <n v="30"/>
    <x v="1"/>
    <s v="Medium"/>
    <n v="5"/>
    <x v="3"/>
    <s v="May"/>
  </r>
  <r>
    <s v="jonATHan chAVEZ"/>
    <n v="61"/>
    <x v="0"/>
    <x v="4"/>
    <x v="0"/>
    <d v="2021-03-11T00:00:00"/>
    <s v="Jo Donaldson"/>
    <s v="Ramirez and Nelson, Collins"/>
    <x v="4"/>
    <n v="24057.47"/>
    <n v="304"/>
    <x v="1"/>
    <d v="2021-04-02T00:00:00"/>
    <s v="Paracetamol"/>
    <x v="0"/>
    <n v="22"/>
    <x v="1"/>
    <s v="Medium"/>
    <n v="3"/>
    <x v="5"/>
    <s v="March"/>
  </r>
  <r>
    <s v="deniSe Wall"/>
    <n v="47"/>
    <x v="0"/>
    <x v="0"/>
    <x v="5"/>
    <d v="2023-02-05T00:00:00"/>
    <s v="Ronald Patrick"/>
    <s v="Sosa-Jackson"/>
    <x v="0"/>
    <n v="22775.47"/>
    <n v="462"/>
    <x v="2"/>
    <d v="2023-02-12T00:00:00"/>
    <s v="Penicillin"/>
    <x v="2"/>
    <n v="7"/>
    <x v="3"/>
    <s v="Medium"/>
    <n v="2"/>
    <x v="4"/>
    <s v="February"/>
  </r>
  <r>
    <s v="ToDd martinez"/>
    <n v="49"/>
    <x v="1"/>
    <x v="1"/>
    <x v="1"/>
    <d v="2021-10-19T00:00:00"/>
    <s v="Lonnie Patton"/>
    <s v="Dillon-Richard"/>
    <x v="4"/>
    <n v="30953.78"/>
    <n v="186"/>
    <x v="0"/>
    <d v="2021-11-12T00:00:00"/>
    <s v="Penicillin"/>
    <x v="0"/>
    <n v="24"/>
    <x v="3"/>
    <s v="High"/>
    <n v="10"/>
    <x v="5"/>
    <s v="October"/>
  </r>
  <r>
    <s v="jEnnIFer foRD"/>
    <n v="83"/>
    <x v="0"/>
    <x v="0"/>
    <x v="3"/>
    <d v="2019-09-07T00:00:00"/>
    <s v="Gabrielle Hendrix"/>
    <s v="Stokes and Sons"/>
    <x v="1"/>
    <n v="12101.13"/>
    <n v="424"/>
    <x v="0"/>
    <d v="2019-09-29T00:00:00"/>
    <s v="Aspirin"/>
    <x v="2"/>
    <n v="22"/>
    <x v="2"/>
    <s v="Medium"/>
    <n v="9"/>
    <x v="1"/>
    <s v="September"/>
  </r>
  <r>
    <s v="RAYMOnD Park JR."/>
    <n v="63"/>
    <x v="0"/>
    <x v="0"/>
    <x v="3"/>
    <d v="2021-05-26T00:00:00"/>
    <s v="Brandy Parsons"/>
    <s v="Inc Nguyen"/>
    <x v="0"/>
    <n v="1478.18"/>
    <n v="478"/>
    <x v="2"/>
    <d v="2021-06-20T00:00:00"/>
    <s v="Ibuprofen"/>
    <x v="0"/>
    <n v="25"/>
    <x v="1"/>
    <s v="Low"/>
    <n v="5"/>
    <x v="5"/>
    <s v="May"/>
  </r>
  <r>
    <s v="jUlia reYNOLDs"/>
    <n v="26"/>
    <x v="1"/>
    <x v="7"/>
    <x v="0"/>
    <d v="2021-05-07T00:00:00"/>
    <s v="Anthony Norris"/>
    <s v="Gallagher-Hernandez"/>
    <x v="2"/>
    <n v="37197.86"/>
    <n v="124"/>
    <x v="0"/>
    <d v="2021-05-27T00:00:00"/>
    <s v="Penicillin"/>
    <x v="2"/>
    <n v="20"/>
    <x v="0"/>
    <s v="High"/>
    <n v="5"/>
    <x v="5"/>
    <s v="May"/>
  </r>
  <r>
    <s v="JOhN McleAn"/>
    <n v="20"/>
    <x v="1"/>
    <x v="5"/>
    <x v="5"/>
    <d v="2023-01-17T00:00:00"/>
    <s v="Kristina Mendez MD"/>
    <s v="Johnson David Carpenter, and"/>
    <x v="1"/>
    <n v="5407.73"/>
    <n v="294"/>
    <x v="2"/>
    <d v="2023-01-29T00:00:00"/>
    <s v="Paracetamol"/>
    <x v="0"/>
    <n v="12"/>
    <x v="0"/>
    <s v="Low"/>
    <n v="1"/>
    <x v="4"/>
    <s v="January"/>
  </r>
  <r>
    <s v="KATie hOwARd"/>
    <n v="69"/>
    <x v="0"/>
    <x v="5"/>
    <x v="3"/>
    <d v="2020-03-05T00:00:00"/>
    <s v="Justin Clark"/>
    <s v="and Montes Marshall Valdez,"/>
    <x v="1"/>
    <n v="6035.46"/>
    <n v="282"/>
    <x v="0"/>
    <d v="2020-03-06T00:00:00"/>
    <s v="Lipitor"/>
    <x v="0"/>
    <n v="1"/>
    <x v="1"/>
    <s v="Low"/>
    <n v="3"/>
    <x v="3"/>
    <s v="March"/>
  </r>
  <r>
    <s v="AmandA LAWSon"/>
    <n v="26"/>
    <x v="0"/>
    <x v="5"/>
    <x v="3"/>
    <d v="2022-09-16T00:00:00"/>
    <s v="Charles Schmidt"/>
    <s v="PLC Kelly"/>
    <x v="0"/>
    <n v="5778.25"/>
    <n v="408"/>
    <x v="2"/>
    <d v="2022-10-16T00:00:00"/>
    <s v="Aspirin"/>
    <x v="0"/>
    <n v="30"/>
    <x v="0"/>
    <s v="Low"/>
    <n v="9"/>
    <x v="2"/>
    <s v="September"/>
  </r>
  <r>
    <s v="PAUL muRRaY"/>
    <n v="36"/>
    <x v="0"/>
    <x v="4"/>
    <x v="5"/>
    <d v="2022-06-03T00:00:00"/>
    <s v="Johnny Alvarado"/>
    <s v="Wilson-Sherman"/>
    <x v="3"/>
    <n v="46602.69"/>
    <n v="229"/>
    <x v="2"/>
    <d v="2022-06-28T00:00:00"/>
    <s v="Ibuprofen"/>
    <x v="2"/>
    <n v="25"/>
    <x v="3"/>
    <s v="High"/>
    <n v="6"/>
    <x v="2"/>
    <s v="June"/>
  </r>
  <r>
    <s v="JAmEs MorRis"/>
    <n v="27"/>
    <x v="0"/>
    <x v="5"/>
    <x v="2"/>
    <d v="2020-12-30T00:00:00"/>
    <s v="Patricia Kidd"/>
    <s v="Peterson Group"/>
    <x v="1"/>
    <n v="47789.83"/>
    <n v="493"/>
    <x v="1"/>
    <d v="2021-01-26T00:00:00"/>
    <s v="Paracetamol"/>
    <x v="2"/>
    <n v="27"/>
    <x v="0"/>
    <s v="High"/>
    <n v="12"/>
    <x v="3"/>
    <s v="December"/>
  </r>
  <r>
    <s v="MaTTHew cOlliNs"/>
    <n v="60"/>
    <x v="1"/>
    <x v="0"/>
    <x v="1"/>
    <d v="2020-08-09T00:00:00"/>
    <s v="Christopher Fleming"/>
    <s v="Hall-Taylor"/>
    <x v="2"/>
    <n v="46608.39"/>
    <n v="142"/>
    <x v="1"/>
    <d v="2020-08-15T00:00:00"/>
    <s v="Penicillin"/>
    <x v="2"/>
    <n v="6"/>
    <x v="1"/>
    <s v="High"/>
    <n v="8"/>
    <x v="3"/>
    <s v="August"/>
  </r>
  <r>
    <s v="sharOn cArPenTeR"/>
    <n v="67"/>
    <x v="1"/>
    <x v="5"/>
    <x v="5"/>
    <d v="2021-03-10T00:00:00"/>
    <s v="Robert Higgins"/>
    <s v="Rios PLC"/>
    <x v="3"/>
    <n v="8709.0400000000009"/>
    <n v="187"/>
    <x v="2"/>
    <d v="2021-03-29T00:00:00"/>
    <s v="Lipitor"/>
    <x v="0"/>
    <n v="19"/>
    <x v="1"/>
    <s v="Low"/>
    <n v="3"/>
    <x v="5"/>
    <s v="March"/>
  </r>
  <r>
    <s v="maRcUS bRoWn"/>
    <n v="41"/>
    <x v="1"/>
    <x v="3"/>
    <x v="0"/>
    <d v="2021-03-15T00:00:00"/>
    <s v="Adrian Powell"/>
    <s v="Lutz, Lester and Kelly"/>
    <x v="3"/>
    <n v="18271"/>
    <n v="178"/>
    <x v="0"/>
    <d v="2021-03-26T00:00:00"/>
    <s v="Ibuprofen"/>
    <x v="2"/>
    <n v="11"/>
    <x v="3"/>
    <s v="Medium"/>
    <n v="3"/>
    <x v="5"/>
    <s v="March"/>
  </r>
  <r>
    <s v="mItcHElL DeCkeR"/>
    <n v="45"/>
    <x v="0"/>
    <x v="0"/>
    <x v="4"/>
    <d v="2021-08-23T00:00:00"/>
    <s v="Alexander Rivera"/>
    <s v="Scott, Moore and Brewer"/>
    <x v="1"/>
    <n v="17679.03"/>
    <n v="132"/>
    <x v="0"/>
    <d v="2021-08-24T00:00:00"/>
    <s v="Penicillin"/>
    <x v="0"/>
    <n v="1"/>
    <x v="3"/>
    <s v="Medium"/>
    <n v="8"/>
    <x v="5"/>
    <s v="August"/>
  </r>
  <r>
    <s v="dONald mURPhY"/>
    <n v="37"/>
    <x v="0"/>
    <x v="1"/>
    <x v="2"/>
    <d v="2023-11-11T00:00:00"/>
    <s v="Pam Johnson"/>
    <s v="Sullivan Henderson Lloyd, and"/>
    <x v="4"/>
    <n v="21965.15"/>
    <n v="406"/>
    <x v="1"/>
    <d v="2023-11-28T00:00:00"/>
    <s v="Penicillin"/>
    <x v="1"/>
    <n v="17"/>
    <x v="3"/>
    <s v="Medium"/>
    <n v="11"/>
    <x v="4"/>
    <s v="November"/>
  </r>
  <r>
    <s v="JOSePh faRlEy"/>
    <n v="46"/>
    <x v="0"/>
    <x v="1"/>
    <x v="0"/>
    <d v="2023-12-31T00:00:00"/>
    <s v="Tracy Howard"/>
    <s v="and Rhodes Trujillo, Booth"/>
    <x v="4"/>
    <n v="27309.71"/>
    <n v="326"/>
    <x v="1"/>
    <d v="2024-01-27T00:00:00"/>
    <s v="Penicillin"/>
    <x v="1"/>
    <n v="27"/>
    <x v="3"/>
    <s v="Medium"/>
    <n v="12"/>
    <x v="4"/>
    <s v="December"/>
  </r>
  <r>
    <s v="BReNdaN paRKer"/>
    <n v="71"/>
    <x v="1"/>
    <x v="1"/>
    <x v="5"/>
    <d v="2019-09-21T00:00:00"/>
    <s v="Matthew Taylor"/>
    <s v="Bailey-White"/>
    <x v="4"/>
    <n v="4437.96"/>
    <n v="406"/>
    <x v="1"/>
    <d v="2019-10-20T00:00:00"/>
    <s v="Penicillin"/>
    <x v="0"/>
    <n v="29"/>
    <x v="2"/>
    <s v="Low"/>
    <n v="9"/>
    <x v="1"/>
    <s v="September"/>
  </r>
  <r>
    <s v="SaMuEL dAVis"/>
    <n v="69"/>
    <x v="1"/>
    <x v="6"/>
    <x v="4"/>
    <d v="2022-11-04T00:00:00"/>
    <s v="Sharon Harding"/>
    <s v="Bridges Inc"/>
    <x v="3"/>
    <n v="15704.09"/>
    <n v="334"/>
    <x v="1"/>
    <d v="2022-11-13T00:00:00"/>
    <s v="Ibuprofen"/>
    <x v="1"/>
    <n v="9"/>
    <x v="1"/>
    <s v="Medium"/>
    <n v="11"/>
    <x v="2"/>
    <s v="November"/>
  </r>
  <r>
    <s v="KeLsey POrTeR"/>
    <n v="65"/>
    <x v="0"/>
    <x v="7"/>
    <x v="3"/>
    <d v="2019-08-08T00:00:00"/>
    <s v="Kristine Browning"/>
    <s v="Jackson Carr, Garcia and"/>
    <x v="1"/>
    <n v="16528.8"/>
    <n v="286"/>
    <x v="0"/>
    <d v="2019-08-19T00:00:00"/>
    <s v="Paracetamol"/>
    <x v="2"/>
    <n v="11"/>
    <x v="1"/>
    <s v="Medium"/>
    <n v="8"/>
    <x v="1"/>
    <s v="August"/>
  </r>
  <r>
    <s v="mArk bRYaNt"/>
    <n v="75"/>
    <x v="1"/>
    <x v="3"/>
    <x v="5"/>
    <d v="2023-10-05T00:00:00"/>
    <s v="Timothy Kim"/>
    <s v="Richardson-Griffin"/>
    <x v="4"/>
    <n v="3621.16"/>
    <n v="346"/>
    <x v="2"/>
    <d v="2023-10-08T00:00:00"/>
    <s v="Penicillin"/>
    <x v="1"/>
    <n v="3"/>
    <x v="2"/>
    <s v="Low"/>
    <n v="10"/>
    <x v="4"/>
    <s v="October"/>
  </r>
  <r>
    <s v="mARGAret ZamoRa"/>
    <n v="77"/>
    <x v="0"/>
    <x v="3"/>
    <x v="2"/>
    <d v="2020-08-28T00:00:00"/>
    <s v="Joshua Ross"/>
    <s v="Allen-Campbell"/>
    <x v="3"/>
    <n v="47863.02"/>
    <n v="159"/>
    <x v="0"/>
    <d v="2020-09-04T00:00:00"/>
    <s v="Ibuprofen"/>
    <x v="0"/>
    <n v="7"/>
    <x v="2"/>
    <s v="High"/>
    <n v="8"/>
    <x v="3"/>
    <s v="August"/>
  </r>
  <r>
    <s v="dAVid pAyne"/>
    <n v="22"/>
    <x v="0"/>
    <x v="1"/>
    <x v="1"/>
    <d v="2020-07-08T00:00:00"/>
    <s v="Linda Adams"/>
    <s v="Ferguson-Liu"/>
    <x v="1"/>
    <n v="46772.58"/>
    <n v="311"/>
    <x v="1"/>
    <d v="2020-07-13T00:00:00"/>
    <s v="Ibuprofen"/>
    <x v="2"/>
    <n v="5"/>
    <x v="0"/>
    <s v="High"/>
    <n v="7"/>
    <x v="3"/>
    <s v="July"/>
  </r>
  <r>
    <s v="tony salAs pHD"/>
    <n v="58"/>
    <x v="1"/>
    <x v="3"/>
    <x v="1"/>
    <d v="2023-10-06T00:00:00"/>
    <s v="Richard Andrews"/>
    <s v="Lee Ltd"/>
    <x v="1"/>
    <n v="18479.740000000002"/>
    <n v="438"/>
    <x v="0"/>
    <d v="2023-10-09T00:00:00"/>
    <s v="Ibuprofen"/>
    <x v="1"/>
    <n v="3"/>
    <x v="1"/>
    <s v="Medium"/>
    <n v="10"/>
    <x v="4"/>
    <s v="October"/>
  </r>
  <r>
    <s v="AdRiaN bowMan"/>
    <n v="25"/>
    <x v="1"/>
    <x v="2"/>
    <x v="0"/>
    <d v="2023-07-01T00:00:00"/>
    <s v="Julie Warren"/>
    <s v="Baldwin-Marshall"/>
    <x v="0"/>
    <n v="7285.49"/>
    <n v="103"/>
    <x v="0"/>
    <d v="2023-07-05T00:00:00"/>
    <s v="Lipitor"/>
    <x v="0"/>
    <n v="4"/>
    <x v="0"/>
    <s v="Low"/>
    <n v="7"/>
    <x v="4"/>
    <s v="July"/>
  </r>
  <r>
    <s v="MRS. laUrEn morgaN"/>
    <n v="83"/>
    <x v="1"/>
    <x v="0"/>
    <x v="2"/>
    <d v="2021-08-07T00:00:00"/>
    <s v="Angela Mathis"/>
    <s v="Norman PLC"/>
    <x v="0"/>
    <n v="6818.72"/>
    <n v="101"/>
    <x v="2"/>
    <d v="2021-08-20T00:00:00"/>
    <s v="Lipitor"/>
    <x v="0"/>
    <n v="13"/>
    <x v="2"/>
    <s v="Low"/>
    <n v="8"/>
    <x v="5"/>
    <s v="August"/>
  </r>
  <r>
    <s v="joSHuA muRRay"/>
    <n v="27"/>
    <x v="0"/>
    <x v="2"/>
    <x v="4"/>
    <d v="2020-05-13T00:00:00"/>
    <s v="Beth Williams"/>
    <s v="Boyd-Fisher"/>
    <x v="0"/>
    <n v="14374.31"/>
    <n v="291"/>
    <x v="0"/>
    <d v="2020-05-26T00:00:00"/>
    <s v="Lipitor"/>
    <x v="2"/>
    <n v="13"/>
    <x v="0"/>
    <s v="Medium"/>
    <n v="5"/>
    <x v="3"/>
    <s v="May"/>
  </r>
  <r>
    <s v="JAsoN webER"/>
    <n v="32"/>
    <x v="0"/>
    <x v="0"/>
    <x v="5"/>
    <d v="2023-09-26T00:00:00"/>
    <s v="Alejandra Williams"/>
    <s v="Inc Davis"/>
    <x v="3"/>
    <n v="5936.18"/>
    <n v="313"/>
    <x v="0"/>
    <d v="2023-09-29T00:00:00"/>
    <s v="Aspirin"/>
    <x v="0"/>
    <n v="3"/>
    <x v="0"/>
    <s v="Low"/>
    <n v="9"/>
    <x v="4"/>
    <s v="September"/>
  </r>
  <r>
    <s v="reBeCcA LeWis"/>
    <n v="40"/>
    <x v="0"/>
    <x v="1"/>
    <x v="2"/>
    <d v="2023-06-14T00:00:00"/>
    <s v="Jennifer Mitchell"/>
    <s v="Perry Inc"/>
    <x v="4"/>
    <n v="32897.269999999997"/>
    <n v="228"/>
    <x v="0"/>
    <d v="2023-06-15T00:00:00"/>
    <s v="Ibuprofen"/>
    <x v="1"/>
    <n v="1"/>
    <x v="3"/>
    <s v="High"/>
    <n v="6"/>
    <x v="4"/>
    <s v="June"/>
  </r>
  <r>
    <s v="JOAn aRcHeR"/>
    <n v="25"/>
    <x v="0"/>
    <x v="5"/>
    <x v="3"/>
    <d v="2024-05-05T00:00:00"/>
    <s v="Bradley Hunter"/>
    <s v="and Brown Larson Moyer,"/>
    <x v="4"/>
    <n v="3963.12"/>
    <n v="415"/>
    <x v="0"/>
    <d v="2024-05-07T00:00:00"/>
    <s v="Aspirin"/>
    <x v="2"/>
    <n v="2"/>
    <x v="0"/>
    <s v="Low"/>
    <n v="5"/>
    <x v="0"/>
    <s v="May"/>
  </r>
  <r>
    <s v="brittAnY EDwarDs"/>
    <n v="69"/>
    <x v="0"/>
    <x v="2"/>
    <x v="3"/>
    <d v="2023-04-03T00:00:00"/>
    <s v="Todd Houston"/>
    <s v="Soto-Boyle"/>
    <x v="0"/>
    <n v="16057.82"/>
    <n v="431"/>
    <x v="2"/>
    <d v="2023-04-11T00:00:00"/>
    <s v="Ibuprofen"/>
    <x v="0"/>
    <n v="8"/>
    <x v="1"/>
    <s v="Medium"/>
    <n v="4"/>
    <x v="4"/>
    <s v="April"/>
  </r>
  <r>
    <s v="tiMotHy dIAz"/>
    <n v="25"/>
    <x v="1"/>
    <x v="0"/>
    <x v="2"/>
    <d v="2021-10-24T00:00:00"/>
    <s v="Michael Grant"/>
    <s v="Jones-Ellis"/>
    <x v="1"/>
    <n v="44041.57"/>
    <n v="454"/>
    <x v="1"/>
    <d v="2021-11-13T00:00:00"/>
    <s v="Ibuprofen"/>
    <x v="0"/>
    <n v="20"/>
    <x v="0"/>
    <s v="High"/>
    <n v="10"/>
    <x v="5"/>
    <s v="October"/>
  </r>
  <r>
    <s v="DaniEL BLaNKenShIP"/>
    <n v="66"/>
    <x v="1"/>
    <x v="6"/>
    <x v="5"/>
    <d v="2023-05-24T00:00:00"/>
    <s v="Debra Carpenter"/>
    <s v="Jenkins, Mathews and Ho"/>
    <x v="1"/>
    <n v="15086.16"/>
    <n v="445"/>
    <x v="0"/>
    <d v="2023-06-09T00:00:00"/>
    <s v="Lipitor"/>
    <x v="2"/>
    <n v="16"/>
    <x v="1"/>
    <s v="Medium"/>
    <n v="5"/>
    <x v="4"/>
    <s v="May"/>
  </r>
  <r>
    <s v="mAry stEphenS"/>
    <n v="62"/>
    <x v="0"/>
    <x v="1"/>
    <x v="4"/>
    <d v="2019-12-20T00:00:00"/>
    <s v="Amanda Johnson"/>
    <s v="Villa Inc"/>
    <x v="3"/>
    <n v="16377.52"/>
    <n v="174"/>
    <x v="0"/>
    <d v="2020-01-17T00:00:00"/>
    <s v="Penicillin"/>
    <x v="1"/>
    <n v="28"/>
    <x v="1"/>
    <s v="Medium"/>
    <n v="12"/>
    <x v="1"/>
    <s v="December"/>
  </r>
  <r>
    <s v="BrIAN FigUERoA"/>
    <n v="30"/>
    <x v="0"/>
    <x v="2"/>
    <x v="4"/>
    <d v="2022-04-27T00:00:00"/>
    <s v="Joseph Flores"/>
    <s v="Castro PLC"/>
    <x v="3"/>
    <n v="43488.84"/>
    <n v="341"/>
    <x v="2"/>
    <d v="2022-05-04T00:00:00"/>
    <s v="Lipitor"/>
    <x v="1"/>
    <n v="7"/>
    <x v="0"/>
    <s v="High"/>
    <n v="4"/>
    <x v="2"/>
    <s v="April"/>
  </r>
  <r>
    <s v="sTEphANIe anderSOn"/>
    <n v="55"/>
    <x v="0"/>
    <x v="6"/>
    <x v="4"/>
    <d v="2019-11-14T00:00:00"/>
    <s v="Kyle Gray"/>
    <s v="Ortiz-Martin"/>
    <x v="4"/>
    <n v="43108.89"/>
    <n v="161"/>
    <x v="1"/>
    <d v="2019-11-16T00:00:00"/>
    <s v="Ibuprofen"/>
    <x v="1"/>
    <n v="2"/>
    <x v="3"/>
    <s v="High"/>
    <n v="11"/>
    <x v="1"/>
    <s v="Novemb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B4EBF3-A9DC-4D0D-9A5E-F4D4B7C0CE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L11" firstHeaderRow="1" firstDataRow="2" firstDataCol="1"/>
  <pivotFields count="21">
    <pivotField dataField="1" showAll="0"/>
    <pivotField showAll="0"/>
    <pivotField showAll="0">
      <items count="3">
        <item x="1"/>
        <item x="0"/>
        <item t="default"/>
      </items>
    </pivotField>
    <pivotField showAll="0"/>
    <pivotField axis="axisRow" showAll="0">
      <items count="7">
        <item x="5"/>
        <item x="3"/>
        <item x="0"/>
        <item x="2"/>
        <item x="4"/>
        <item x="1"/>
        <item t="default"/>
      </items>
    </pivotField>
    <pivotField numFmtId="14" showAll="0"/>
    <pivotField showAll="0"/>
    <pivotField showAll="0"/>
    <pivotField axis="axisCol"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showAll="0"/>
    <pivotField showAll="0"/>
    <pivotField showAll="0"/>
    <pivotField showAll="0"/>
    <pivotField showAll="0"/>
    <pivotField showAll="0">
      <items count="7">
        <item x="1"/>
        <item x="3"/>
        <item x="5"/>
        <item x="2"/>
        <item x="4"/>
        <item x="0"/>
        <item t="default"/>
      </items>
    </pivotField>
    <pivotField showAll="0"/>
  </pivotFields>
  <rowFields count="1">
    <field x="4"/>
  </rowFields>
  <rowItems count="7">
    <i>
      <x/>
    </i>
    <i>
      <x v="1"/>
    </i>
    <i>
      <x v="2"/>
    </i>
    <i>
      <x v="3"/>
    </i>
    <i>
      <x v="4"/>
    </i>
    <i>
      <x v="5"/>
    </i>
    <i t="grand">
      <x/>
    </i>
  </rowItems>
  <colFields count="1">
    <field x="8"/>
  </colFields>
  <colItems count="6">
    <i>
      <x/>
    </i>
    <i>
      <x v="1"/>
    </i>
    <i>
      <x v="2"/>
    </i>
    <i>
      <x v="3"/>
    </i>
    <i>
      <x v="4"/>
    </i>
    <i t="grand">
      <x/>
    </i>
  </colItems>
  <dataFields count="1">
    <dataField name="Total Patients"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71870C-C2CA-48F6-A30C-727E73736395}"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6">
  <location ref="A10:B17" firstHeaderRow="1" firstDataRow="1" firstDataCol="1"/>
  <pivotFields count="21">
    <pivotField dataField="1" showAll="0"/>
    <pivotField showAll="0"/>
    <pivotField showAll="0">
      <items count="3">
        <item x="1"/>
        <item x="0"/>
        <item t="default"/>
      </items>
    </pivotField>
    <pivotField showAll="0"/>
    <pivotField axis="axisRow" showAll="0">
      <items count="7">
        <item x="5"/>
        <item x="3"/>
        <item x="0"/>
        <item x="2"/>
        <item x="4"/>
        <item x="1"/>
        <item t="default"/>
      </items>
    </pivotField>
    <pivotField numFmtId="14" showAll="0"/>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showAll="0"/>
    <pivotField showAll="0"/>
    <pivotField showAll="0"/>
    <pivotField showAll="0"/>
    <pivotField showAll="0"/>
    <pivotField showAll="0">
      <items count="7">
        <item x="1"/>
        <item x="3"/>
        <item x="5"/>
        <item x="2"/>
        <item x="4"/>
        <item x="0"/>
        <item t="default"/>
      </items>
    </pivotField>
    <pivotField showAll="0"/>
  </pivotFields>
  <rowFields count="1">
    <field x="4"/>
  </rowFields>
  <rowItems count="7">
    <i>
      <x/>
    </i>
    <i>
      <x v="1"/>
    </i>
    <i>
      <x v="2"/>
    </i>
    <i>
      <x v="3"/>
    </i>
    <i>
      <x v="4"/>
    </i>
    <i>
      <x v="5"/>
    </i>
    <i t="grand">
      <x/>
    </i>
  </rowItems>
  <colItems count="1">
    <i/>
  </colItems>
  <dataFields count="1">
    <dataField name="Total Patients" fld="0" subtotal="count" baseField="4"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EED90D-A418-4C9C-9F4D-9B25472454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Q4" firstHeaderRow="0" firstDataRow="1" firstDataCol="0"/>
  <pivotFields count="21">
    <pivotField dataField="1" showAll="0"/>
    <pivotField showAll="0"/>
    <pivotField showAll="0">
      <items count="3">
        <item x="1"/>
        <item x="0"/>
        <item t="default"/>
      </items>
    </pivotField>
    <pivotField showAll="0"/>
    <pivotField showAll="0">
      <items count="7">
        <item x="5"/>
        <item x="3"/>
        <item x="0"/>
        <item x="2"/>
        <item x="4"/>
        <item x="1"/>
        <item t="default"/>
      </items>
    </pivotField>
    <pivotField numFmtId="14" showAll="0"/>
    <pivotField showAll="0"/>
    <pivotField showAll="0"/>
    <pivotField showAll="0">
      <items count="6">
        <item x="2"/>
        <item x="0"/>
        <item x="4"/>
        <item x="1"/>
        <item x="3"/>
        <item t="default"/>
      </items>
    </pivotField>
    <pivotField dataField="1" showAll="0"/>
    <pivotField showAll="0"/>
    <pivotField showAll="0">
      <items count="4">
        <item x="2"/>
        <item x="1"/>
        <item x="0"/>
        <item t="default"/>
      </items>
    </pivotField>
    <pivotField numFmtId="14" showAll="0"/>
    <pivotField showAll="0"/>
    <pivotField showAll="0"/>
    <pivotField dataField="1" showAll="0"/>
    <pivotField showAll="0"/>
    <pivotField showAll="0"/>
    <pivotField showAll="0"/>
    <pivotField showAll="0">
      <items count="7">
        <item x="1"/>
        <item x="3"/>
        <item x="5"/>
        <item x="2"/>
        <item x="4"/>
        <item x="0"/>
        <item t="default"/>
      </items>
    </pivotField>
    <pivotField showAll="0"/>
  </pivotFields>
  <rowItems count="1">
    <i/>
  </rowItems>
  <colFields count="1">
    <field x="-2"/>
  </colFields>
  <colItems count="4">
    <i>
      <x/>
    </i>
    <i i="1">
      <x v="1"/>
    </i>
    <i i="2">
      <x v="2"/>
    </i>
    <i i="3">
      <x v="3"/>
    </i>
  </colItems>
  <dataFields count="4">
    <dataField name="Total Patients" fld="0" subtotal="count" baseField="0" baseItem="0"/>
    <dataField name="Total Revenue" fld="9" baseField="0" baseItem="1"/>
    <dataField name="Avg Billing" fld="9" subtotal="average" baseField="0" baseItem="1"/>
    <dataField name="Avg Length_of_Stay" fld="1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FFF7FC-756E-48CD-9406-D70440C843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2:K27" firstHeaderRow="1" firstDataRow="1" firstDataCol="1"/>
  <pivotFields count="21">
    <pivotField dataField="1" showAll="0"/>
    <pivotField showAll="0"/>
    <pivotField showAll="0">
      <items count="3">
        <item x="1"/>
        <item x="0"/>
        <item t="default"/>
      </items>
    </pivotField>
    <pivotField showAll="0"/>
    <pivotField showAll="0">
      <items count="7">
        <item x="5"/>
        <item x="3"/>
        <item x="0"/>
        <item x="2"/>
        <item x="4"/>
        <item x="1"/>
        <item t="default"/>
      </items>
    </pivotField>
    <pivotField numFmtId="14" showAll="0"/>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showAll="0"/>
    <pivotField showAll="0"/>
    <pivotField axis="axisRow" showAll="0">
      <items count="5">
        <item x="2"/>
        <item x="3"/>
        <item x="1"/>
        <item x="0"/>
        <item t="default"/>
      </items>
    </pivotField>
    <pivotField showAll="0"/>
    <pivotField showAll="0"/>
    <pivotField showAll="0">
      <items count="7">
        <item x="1"/>
        <item x="3"/>
        <item x="5"/>
        <item x="2"/>
        <item x="4"/>
        <item x="0"/>
        <item t="default"/>
      </items>
    </pivotField>
    <pivotField showAll="0"/>
  </pivotFields>
  <rowFields count="1">
    <field x="16"/>
  </rowFields>
  <rowItems count="5">
    <i>
      <x/>
    </i>
    <i>
      <x v="1"/>
    </i>
    <i>
      <x v="2"/>
    </i>
    <i>
      <x v="3"/>
    </i>
    <i t="grand">
      <x/>
    </i>
  </rowItems>
  <colItems count="1">
    <i/>
  </colItems>
  <dataFields count="1">
    <dataField name="Total Patients" fld="0" subtotal="count" baseField="16"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180DC8-8D2F-4F2B-A26D-E0415C02CA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8" firstHeaderRow="1" firstDataRow="1" firstDataCol="1"/>
  <pivotFields count="21">
    <pivotField dataField="1" showAll="0"/>
    <pivotField showAll="0"/>
    <pivotField showAll="0">
      <items count="3">
        <item x="1"/>
        <item x="0"/>
        <item t="default"/>
      </items>
    </pivotField>
    <pivotField showAll="0"/>
    <pivotField showAll="0">
      <items count="7">
        <item x="5"/>
        <item x="3"/>
        <item x="0"/>
        <item x="2"/>
        <item x="4"/>
        <item x="1"/>
        <item t="default"/>
      </items>
    </pivotField>
    <pivotField numFmtId="14" showAll="0"/>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showAll="0"/>
    <pivotField showAll="0"/>
    <pivotField showAll="0"/>
    <pivotField showAll="0"/>
    <pivotField showAll="0"/>
    <pivotField axis="axisRow" showAll="0">
      <items count="7">
        <item x="1"/>
        <item x="3"/>
        <item x="5"/>
        <item x="2"/>
        <item x="4"/>
        <item x="0"/>
        <item t="default"/>
      </items>
    </pivotField>
    <pivotField showAll="0"/>
  </pivotFields>
  <rowFields count="1">
    <field x="19"/>
  </rowFields>
  <rowItems count="7">
    <i>
      <x/>
    </i>
    <i>
      <x v="1"/>
    </i>
    <i>
      <x v="2"/>
    </i>
    <i>
      <x v="3"/>
    </i>
    <i>
      <x v="4"/>
    </i>
    <i>
      <x v="5"/>
    </i>
    <i t="grand">
      <x/>
    </i>
  </rowItems>
  <colItems count="1">
    <i/>
  </colItems>
  <dataFields count="1">
    <dataField name="Total Patients" fld="0" subtotal="count" baseField="19"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5D4A12-82F8-4A5C-8F06-028ED538BC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15:K19" firstHeaderRow="1" firstDataRow="1" firstDataCol="1"/>
  <pivotFields count="21">
    <pivotField dataField="1" showAll="0"/>
    <pivotField showAll="0"/>
    <pivotField showAll="0">
      <items count="3">
        <item x="1"/>
        <item x="0"/>
        <item t="default"/>
      </items>
    </pivotField>
    <pivotField showAll="0"/>
    <pivotField showAll="0">
      <items count="7">
        <item x="5"/>
        <item x="3"/>
        <item x="0"/>
        <item x="2"/>
        <item x="4"/>
        <item x="1"/>
        <item t="default"/>
      </items>
    </pivotField>
    <pivotField numFmtId="14" showAll="0"/>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axis="axisRow" showAll="0">
      <items count="4">
        <item x="2"/>
        <item x="1"/>
        <item x="0"/>
        <item t="default"/>
      </items>
    </pivotField>
    <pivotField showAll="0"/>
    <pivotField showAll="0"/>
    <pivotField showAll="0"/>
    <pivotField showAll="0"/>
    <pivotField showAll="0">
      <items count="7">
        <item x="1"/>
        <item x="3"/>
        <item x="5"/>
        <item x="2"/>
        <item x="4"/>
        <item x="0"/>
        <item t="default"/>
      </items>
    </pivotField>
    <pivotField showAll="0"/>
  </pivotFields>
  <rowFields count="1">
    <field x="14"/>
  </rowFields>
  <rowItems count="4">
    <i>
      <x/>
    </i>
    <i>
      <x v="1"/>
    </i>
    <i>
      <x v="2"/>
    </i>
    <i t="grand">
      <x/>
    </i>
  </rowItems>
  <colItems count="1">
    <i/>
  </colItems>
  <dataFields count="1">
    <dataField name="Total Patients" fld="0" subtotal="count" baseField="14"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59F245-63D6-4A36-AEE9-7FFDD45D7C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4:G23" firstHeaderRow="1" firstDataRow="1" firstDataCol="1"/>
  <pivotFields count="21">
    <pivotField dataField="1" showAll="0"/>
    <pivotField showAll="0"/>
    <pivotField showAll="0">
      <items count="3">
        <item x="1"/>
        <item x="0"/>
        <item t="default"/>
      </items>
    </pivotField>
    <pivotField axis="axisRow" showAll="0">
      <items count="9">
        <item x="2"/>
        <item x="1"/>
        <item x="5"/>
        <item x="4"/>
        <item x="0"/>
        <item x="6"/>
        <item x="7"/>
        <item x="3"/>
        <item t="default"/>
      </items>
    </pivotField>
    <pivotField showAll="0">
      <items count="7">
        <item x="5"/>
        <item x="3"/>
        <item x="0"/>
        <item x="2"/>
        <item x="4"/>
        <item x="1"/>
        <item t="default"/>
      </items>
    </pivotField>
    <pivotField numFmtId="14" showAll="0"/>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showAll="0"/>
    <pivotField showAll="0"/>
    <pivotField showAll="0"/>
    <pivotField showAll="0"/>
    <pivotField showAll="0"/>
    <pivotField showAll="0">
      <items count="7">
        <item x="1"/>
        <item x="3"/>
        <item x="5"/>
        <item x="2"/>
        <item x="4"/>
        <item x="0"/>
        <item t="default"/>
      </items>
    </pivotField>
    <pivotField showAll="0"/>
  </pivotFields>
  <rowFields count="1">
    <field x="3"/>
  </rowFields>
  <rowItems count="9">
    <i>
      <x/>
    </i>
    <i>
      <x v="1"/>
    </i>
    <i>
      <x v="2"/>
    </i>
    <i>
      <x v="3"/>
    </i>
    <i>
      <x v="4"/>
    </i>
    <i>
      <x v="5"/>
    </i>
    <i>
      <x v="6"/>
    </i>
    <i>
      <x v="7"/>
    </i>
    <i t="grand">
      <x/>
    </i>
  </rowItems>
  <colItems count="1">
    <i/>
  </colItems>
  <dataFields count="1">
    <dataField name="Total Patients" fld="0" subtotal="count" baseField="3"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BFDF45-9F7F-49E6-B619-D381ECD8A28D}" autoFormatId="16" applyNumberFormats="0" applyBorderFormats="0" applyFontFormats="0" applyPatternFormats="0" applyAlignmentFormats="0" applyWidthHeightFormats="0">
  <queryTableRefresh nextId="22">
    <queryTableFields count="21">
      <queryTableField id="1" name="Name" tableColumnId="1"/>
      <queryTableField id="2" name="Age" tableColumnId="2"/>
      <queryTableField id="3" name="Gender" tableColumnId="3"/>
      <queryTableField id="4" name="Blood Type" tableColumnId="4"/>
      <queryTableField id="5" name="Medical Condition" tableColumnId="5"/>
      <queryTableField id="6" name="Date of Admission" tableColumnId="6"/>
      <queryTableField id="7" name="Doctor" tableColumnId="7"/>
      <queryTableField id="8" name="Hospital" tableColumnId="8"/>
      <queryTableField id="9" name="Insurance Provider" tableColumnId="9"/>
      <queryTableField id="10" name="Billing Amount" tableColumnId="10"/>
      <queryTableField id="11" name="Room Number" tableColumnId="11"/>
      <queryTableField id="12" name="Admission Type" tableColumnId="12"/>
      <queryTableField id="13" name="Discharge Date" tableColumnId="13"/>
      <queryTableField id="14" name="Medication" tableColumnId="14"/>
      <queryTableField id="15" name="Test Results" tableColumnId="15"/>
      <queryTableField id="16" name="Length_of_Stay" tableColumnId="16"/>
      <queryTableField id="17" name="Age_Group" tableColumnId="17"/>
      <queryTableField id="18" name="Billing_Category" tableColumnId="18"/>
      <queryTableField id="19" name="Admission_Month" tableColumnId="19"/>
      <queryTableField id="20" name="Admission_Year" tableColumnId="20"/>
      <queryTableField id="21" name="Admission_Month_Name"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B5EFB2-9A87-4641-939A-AECA70486814}" sourceName="Gende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30136374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5CB8EBD4-506C-4A48-9584-7E2EB4C35C3E}" sourceName="Medical Condit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301363746">
      <items count="6">
        <i x="5" s="1"/>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F1A597CE-B87E-4D9E-AB38-C1891EDEE252}" sourceName="Insurance Provide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301363746">
      <items count="5">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78E8FF6B-DA93-4322-894C-967744080804}" sourceName="Admission Typ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30136374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Year" xr10:uid="{E58C91DC-76FA-4068-9072-26415ED3261A}" sourceName="Admission_Yea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301363746">
      <items count="6">
        <i x="1" s="1"/>
        <i x="3" s="1"/>
        <i x="5"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8B23ACF-91FB-4ADB-B845-5F8A75BAF00D}" cache="Slicer_Gender" caption="Gender" rowHeight="234950"/>
  <slicer name="Medical Condition" xr10:uid="{F78E9788-3741-4E9A-B0C7-F3464D8CF219}" cache="Slicer_Medical_Condition" caption="Medical Condition" rowHeight="234950"/>
  <slicer name="Insurance Provider" xr10:uid="{C932B105-5055-4A5F-872F-943CEA25BD19}" cache="Slicer_Insurance_Provider" caption="Insurance Provider" rowHeight="234950"/>
  <slicer name="Admission Type" xr10:uid="{3DBB5946-2A5D-496E-A4A4-5131103FDA2E}" cache="Slicer_Admission_Type" caption="Admission Type" rowHeight="234950"/>
  <slicer name="Admission_Year" xr10:uid="{2D848972-6363-41FF-9534-3B89694FEF59}" cache="Slicer_Admission_Year" caption="Admission_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6BC5708-C0D7-4466-9E40-B90919E899E2}" cache="Slicer_Gender" caption="Gender" columnCount="2" style="SlicerStyleDark1" rowHeight="234950"/>
  <slicer name="Medical Condition 1" xr10:uid="{4D5CCBD0-F412-469D-A541-7BCF3C83D43D}" cache="Slicer_Medical_Condition" caption="Medical Condition" columnCount="2" style="SlicerStyleDark1" rowHeight="234950"/>
  <slicer name="Insurance Provider 1" xr10:uid="{8587947C-D11B-4E9C-A062-AA1E9C70346E}" cache="Slicer_Insurance_Provider" caption="Insurance Provider" columnCount="2" style="SlicerStyleDark1" rowHeight="234950"/>
  <slicer name="Admission Type 1" xr10:uid="{FC529CC6-16C7-4520-A93E-95B086B522CF}" cache="Slicer_Admission_Type" caption="Admission Type" columnCount="3" style="SlicerStyleDark1" rowHeight="234950"/>
  <slicer name="Admission_Year 1" xr10:uid="{B681ECA1-487B-4DA2-BE0C-67F5B6C541EC}" cache="Slicer_Admission_Year" caption="Admission_Year" columnCount="4" style="SlicerStyleDark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AB9AF3-EB35-441B-B096-B5F059CB56B9}" name="healthcaredata" displayName="healthcaredata" ref="A1:U1001" tableType="queryTable" totalsRowShown="0">
  <autoFilter ref="A1:U1001" xr:uid="{9CAB9AF3-EB35-441B-B096-B5F059CB56B9}"/>
  <tableColumns count="21">
    <tableColumn id="1" xr3:uid="{410626F8-84D8-4ED7-BF05-C0A40A280661}" uniqueName="1" name="Name" queryTableFieldId="1" dataDxfId="14"/>
    <tableColumn id="2" xr3:uid="{A86B563D-6E6F-41F1-A341-EBBF45AA19E8}" uniqueName="2" name="Age" queryTableFieldId="2"/>
    <tableColumn id="3" xr3:uid="{16099BBA-6C12-40DE-BC3B-52C1FAB83B20}" uniqueName="3" name="Gender" queryTableFieldId="3" dataDxfId="13"/>
    <tableColumn id="4" xr3:uid="{32343B19-F27D-40AC-BE3F-ED2122B2B1A3}" uniqueName="4" name="Blood Type" queryTableFieldId="4" dataDxfId="12"/>
    <tableColumn id="5" xr3:uid="{84149A5D-0717-41DB-8A6D-5BE7FF29DC9C}" uniqueName="5" name="Medical Condition" queryTableFieldId="5" dataDxfId="11"/>
    <tableColumn id="6" xr3:uid="{88996FB2-E4D1-44BF-A8DE-63EA9A1CC0C5}" uniqueName="6" name="Date of Admission" queryTableFieldId="6" dataDxfId="10"/>
    <tableColumn id="7" xr3:uid="{B56C2F8C-1585-475F-B55B-94F46A164EEE}" uniqueName="7" name="Doctor" queryTableFieldId="7" dataDxfId="9"/>
    <tableColumn id="8" xr3:uid="{3AF43B78-63A0-4644-822C-A553A253E578}" uniqueName="8" name="Hospital" queryTableFieldId="8" dataDxfId="8"/>
    <tableColumn id="9" xr3:uid="{C3EF2DD0-7000-4259-9D6D-BAD7167CDAB7}" uniqueName="9" name="Insurance Provider" queryTableFieldId="9" dataDxfId="7"/>
    <tableColumn id="10" xr3:uid="{E149964F-7805-4EE0-A629-D2B049CA63A6}" uniqueName="10" name="Billing Amount" queryTableFieldId="10"/>
    <tableColumn id="11" xr3:uid="{1722DD26-5599-422E-B5FA-FDE30D3FA7BB}" uniqueName="11" name="Room Number" queryTableFieldId="11"/>
    <tableColumn id="12" xr3:uid="{7F83D8F1-8DE0-49B2-9EA9-851FEF3E6184}" uniqueName="12" name="Admission Type" queryTableFieldId="12" dataDxfId="6"/>
    <tableColumn id="13" xr3:uid="{2F28A439-951D-4688-990F-E21579C92DDC}" uniqueName="13" name="Discharge Date" queryTableFieldId="13" dataDxfId="5"/>
    <tableColumn id="14" xr3:uid="{37989D4B-8635-41A4-8A48-D6F2C637FF1E}" uniqueName="14" name="Medication" queryTableFieldId="14" dataDxfId="4"/>
    <tableColumn id="15" xr3:uid="{7D2F2042-5F88-4D73-B382-305112469DE5}" uniqueName="15" name="Test Results" queryTableFieldId="15" dataDxfId="3"/>
    <tableColumn id="16" xr3:uid="{A411DAA1-7572-4A30-AFC0-9C2D358A68B7}" uniqueName="16" name="Length_of_Stay" queryTableFieldId="16"/>
    <tableColumn id="17" xr3:uid="{4FE69E9E-B10A-47EA-AE80-38B228DC00D3}" uniqueName="17" name="Age_Group" queryTableFieldId="17" dataDxfId="2"/>
    <tableColumn id="18" xr3:uid="{254FD098-7738-4C87-AB50-51EAF01A38AB}" uniqueName="18" name="Billing_Category" queryTableFieldId="18" dataDxfId="1"/>
    <tableColumn id="19" xr3:uid="{ED36243A-9AD3-4C54-97EF-7D1C5FF68C56}" uniqueName="19" name="Admission_Month" queryTableFieldId="19"/>
    <tableColumn id="20" xr3:uid="{557B4B6A-DA6D-492C-9E33-06885C62BFC7}" uniqueName="20" name="Admission_Year" queryTableFieldId="20"/>
    <tableColumn id="21" xr3:uid="{02336DA1-BD5C-4021-A56C-88BABE167DA0}" uniqueName="21" name="Admission_Month_Name"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CA7C-5E00-4A76-AF4E-986ACFB68CB6}">
  <dimension ref="A1:U1001"/>
  <sheetViews>
    <sheetView topLeftCell="A2" workbookViewId="0">
      <selection activeCell="C13" sqref="C13"/>
    </sheetView>
  </sheetViews>
  <sheetFormatPr defaultRowHeight="14.4" x14ac:dyDescent="0.3"/>
  <cols>
    <col min="1" max="1" width="22.21875" bestFit="1" customWidth="1"/>
    <col min="2" max="2" width="6.44140625" bestFit="1" customWidth="1"/>
    <col min="3" max="3" width="9.33203125" bestFit="1" customWidth="1"/>
    <col min="4" max="4" width="12.6640625" bestFit="1" customWidth="1"/>
    <col min="5" max="5" width="18.6640625" bestFit="1" customWidth="1"/>
    <col min="6" max="6" width="18.5546875" bestFit="1" customWidth="1"/>
    <col min="7" max="7" width="22.21875" bestFit="1" customWidth="1"/>
    <col min="8" max="8" width="30.5546875" bestFit="1" customWidth="1"/>
    <col min="9" max="9" width="19.109375" bestFit="1" customWidth="1"/>
    <col min="10" max="11" width="15.6640625" bestFit="1" customWidth="1"/>
    <col min="12" max="12" width="16.5546875" bestFit="1" customWidth="1"/>
    <col min="13" max="13" width="15.77734375" bestFit="1" customWidth="1"/>
    <col min="14" max="14" width="12.77734375" bestFit="1" customWidth="1"/>
    <col min="15" max="15" width="13" bestFit="1" customWidth="1"/>
    <col min="16" max="16" width="16.5546875" bestFit="1" customWidth="1"/>
    <col min="17" max="17" width="12.6640625" bestFit="1" customWidth="1"/>
    <col min="18" max="18" width="16.88671875" bestFit="1" customWidth="1"/>
    <col min="19" max="19" width="18.77734375" bestFit="1" customWidth="1"/>
    <col min="20" max="20" width="16.6640625" bestFit="1" customWidth="1"/>
    <col min="21" max="21" width="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v>30</v>
      </c>
      <c r="C2" t="s">
        <v>22</v>
      </c>
      <c r="D2" t="s">
        <v>23</v>
      </c>
      <c r="E2" t="s">
        <v>24</v>
      </c>
      <c r="F2" s="1">
        <v>45322</v>
      </c>
      <c r="G2" t="s">
        <v>25</v>
      </c>
      <c r="H2" t="s">
        <v>26</v>
      </c>
      <c r="I2" t="s">
        <v>27</v>
      </c>
      <c r="J2">
        <v>18856.28</v>
      </c>
      <c r="K2">
        <v>328</v>
      </c>
      <c r="L2" t="s">
        <v>28</v>
      </c>
      <c r="M2" s="1">
        <v>45324</v>
      </c>
      <c r="N2" t="s">
        <v>29</v>
      </c>
      <c r="O2" t="s">
        <v>30</v>
      </c>
      <c r="P2">
        <v>2</v>
      </c>
      <c r="Q2" t="s">
        <v>31</v>
      </c>
      <c r="R2" t="s">
        <v>32</v>
      </c>
      <c r="S2">
        <v>1</v>
      </c>
      <c r="T2">
        <v>2024</v>
      </c>
      <c r="U2" t="s">
        <v>33</v>
      </c>
    </row>
    <row r="3" spans="1:21" x14ac:dyDescent="0.3">
      <c r="A3" t="s">
        <v>34</v>
      </c>
      <c r="B3">
        <v>62</v>
      </c>
      <c r="C3" t="s">
        <v>22</v>
      </c>
      <c r="D3" t="s">
        <v>35</v>
      </c>
      <c r="E3" t="s">
        <v>36</v>
      </c>
      <c r="F3" s="1">
        <v>43697</v>
      </c>
      <c r="G3" t="s">
        <v>37</v>
      </c>
      <c r="H3" t="s">
        <v>38</v>
      </c>
      <c r="I3" t="s">
        <v>39</v>
      </c>
      <c r="J3">
        <v>33643.33</v>
      </c>
      <c r="K3">
        <v>265</v>
      </c>
      <c r="L3" t="s">
        <v>40</v>
      </c>
      <c r="M3" s="1">
        <v>43703</v>
      </c>
      <c r="N3" t="s">
        <v>41</v>
      </c>
      <c r="O3" t="s">
        <v>42</v>
      </c>
      <c r="P3">
        <v>6</v>
      </c>
      <c r="Q3" t="s">
        <v>43</v>
      </c>
      <c r="R3" t="s">
        <v>44</v>
      </c>
      <c r="S3">
        <v>8</v>
      </c>
      <c r="T3">
        <v>2019</v>
      </c>
      <c r="U3" t="s">
        <v>45</v>
      </c>
    </row>
    <row r="4" spans="1:21" x14ac:dyDescent="0.3">
      <c r="A4" t="s">
        <v>46</v>
      </c>
      <c r="B4">
        <v>76</v>
      </c>
      <c r="C4" t="s">
        <v>47</v>
      </c>
      <c r="D4" t="s">
        <v>48</v>
      </c>
      <c r="E4" t="s">
        <v>36</v>
      </c>
      <c r="F4" s="1">
        <v>44826</v>
      </c>
      <c r="G4" t="s">
        <v>49</v>
      </c>
      <c r="H4" t="s">
        <v>50</v>
      </c>
      <c r="I4" t="s">
        <v>51</v>
      </c>
      <c r="J4">
        <v>27955.1</v>
      </c>
      <c r="K4">
        <v>205</v>
      </c>
      <c r="L4" t="s">
        <v>40</v>
      </c>
      <c r="M4" s="1">
        <v>44841</v>
      </c>
      <c r="N4" t="s">
        <v>52</v>
      </c>
      <c r="O4" t="s">
        <v>30</v>
      </c>
      <c r="P4">
        <v>15</v>
      </c>
      <c r="Q4" t="s">
        <v>53</v>
      </c>
      <c r="R4" t="s">
        <v>32</v>
      </c>
      <c r="S4">
        <v>9</v>
      </c>
      <c r="T4">
        <v>2022</v>
      </c>
      <c r="U4" t="s">
        <v>54</v>
      </c>
    </row>
    <row r="5" spans="1:21" x14ac:dyDescent="0.3">
      <c r="A5" t="s">
        <v>55</v>
      </c>
      <c r="B5">
        <v>28</v>
      </c>
      <c r="C5" t="s">
        <v>47</v>
      </c>
      <c r="D5" t="s">
        <v>56</v>
      </c>
      <c r="E5" t="s">
        <v>57</v>
      </c>
      <c r="F5" s="1">
        <v>44153</v>
      </c>
      <c r="G5" t="s">
        <v>58</v>
      </c>
      <c r="H5" t="s">
        <v>59</v>
      </c>
      <c r="I5" t="s">
        <v>39</v>
      </c>
      <c r="J5">
        <v>37909.78</v>
      </c>
      <c r="K5">
        <v>450</v>
      </c>
      <c r="L5" t="s">
        <v>60</v>
      </c>
      <c r="M5" s="1">
        <v>44183</v>
      </c>
      <c r="N5" t="s">
        <v>41</v>
      </c>
      <c r="O5" t="s">
        <v>61</v>
      </c>
      <c r="P5">
        <v>30</v>
      </c>
      <c r="Q5" t="s">
        <v>31</v>
      </c>
      <c r="R5" t="s">
        <v>44</v>
      </c>
      <c r="S5">
        <v>11</v>
      </c>
      <c r="T5">
        <v>2020</v>
      </c>
      <c r="U5" t="s">
        <v>62</v>
      </c>
    </row>
    <row r="6" spans="1:21" x14ac:dyDescent="0.3">
      <c r="A6" t="s">
        <v>63</v>
      </c>
      <c r="B6">
        <v>43</v>
      </c>
      <c r="C6" t="s">
        <v>47</v>
      </c>
      <c r="D6" t="s">
        <v>64</v>
      </c>
      <c r="E6" t="s">
        <v>24</v>
      </c>
      <c r="F6" s="1">
        <v>44823</v>
      </c>
      <c r="G6" t="s">
        <v>65</v>
      </c>
      <c r="H6" t="s">
        <v>66</v>
      </c>
      <c r="I6" t="s">
        <v>51</v>
      </c>
      <c r="J6">
        <v>14238.32</v>
      </c>
      <c r="K6">
        <v>458</v>
      </c>
      <c r="L6" t="s">
        <v>28</v>
      </c>
      <c r="M6" s="1">
        <v>44843</v>
      </c>
      <c r="N6" t="s">
        <v>67</v>
      </c>
      <c r="O6" t="s">
        <v>61</v>
      </c>
      <c r="P6">
        <v>20</v>
      </c>
      <c r="Q6" t="s">
        <v>68</v>
      </c>
      <c r="R6" t="s">
        <v>32</v>
      </c>
      <c r="S6">
        <v>9</v>
      </c>
      <c r="T6">
        <v>2022</v>
      </c>
      <c r="U6" t="s">
        <v>54</v>
      </c>
    </row>
    <row r="7" spans="1:21" x14ac:dyDescent="0.3">
      <c r="A7" t="s">
        <v>69</v>
      </c>
      <c r="B7">
        <v>36</v>
      </c>
      <c r="C7" t="s">
        <v>22</v>
      </c>
      <c r="D7" t="s">
        <v>35</v>
      </c>
      <c r="E7" t="s">
        <v>70</v>
      </c>
      <c r="F7" s="1">
        <v>45280</v>
      </c>
      <c r="G7" t="s">
        <v>71</v>
      </c>
      <c r="H7" t="s">
        <v>72</v>
      </c>
      <c r="I7" t="s">
        <v>73</v>
      </c>
      <c r="J7">
        <v>48145.11</v>
      </c>
      <c r="K7">
        <v>389</v>
      </c>
      <c r="L7" t="s">
        <v>28</v>
      </c>
      <c r="M7" s="1">
        <v>45284</v>
      </c>
      <c r="N7" t="s">
        <v>41</v>
      </c>
      <c r="O7" t="s">
        <v>30</v>
      </c>
      <c r="P7">
        <v>4</v>
      </c>
      <c r="Q7" t="s">
        <v>68</v>
      </c>
      <c r="R7" t="s">
        <v>44</v>
      </c>
      <c r="S7">
        <v>12</v>
      </c>
      <c r="T7">
        <v>2023</v>
      </c>
      <c r="U7" t="s">
        <v>74</v>
      </c>
    </row>
    <row r="8" spans="1:21" x14ac:dyDescent="0.3">
      <c r="A8" t="s">
        <v>75</v>
      </c>
      <c r="B8">
        <v>21</v>
      </c>
      <c r="C8" t="s">
        <v>47</v>
      </c>
      <c r="D8" t="s">
        <v>76</v>
      </c>
      <c r="E8" t="s">
        <v>57</v>
      </c>
      <c r="F8" s="1">
        <v>44138</v>
      </c>
      <c r="G8" t="s">
        <v>77</v>
      </c>
      <c r="H8" t="s">
        <v>78</v>
      </c>
      <c r="I8" t="s">
        <v>39</v>
      </c>
      <c r="J8">
        <v>19580.87</v>
      </c>
      <c r="K8">
        <v>389</v>
      </c>
      <c r="L8" t="s">
        <v>40</v>
      </c>
      <c r="M8" s="1">
        <v>44150</v>
      </c>
      <c r="N8" t="s">
        <v>29</v>
      </c>
      <c r="O8" t="s">
        <v>42</v>
      </c>
      <c r="P8">
        <v>12</v>
      </c>
      <c r="Q8" t="s">
        <v>31</v>
      </c>
      <c r="R8" t="s">
        <v>32</v>
      </c>
      <c r="S8">
        <v>11</v>
      </c>
      <c r="T8">
        <v>2020</v>
      </c>
      <c r="U8" t="s">
        <v>62</v>
      </c>
    </row>
    <row r="9" spans="1:21" x14ac:dyDescent="0.3">
      <c r="A9" t="s">
        <v>79</v>
      </c>
      <c r="B9">
        <v>20</v>
      </c>
      <c r="C9" t="s">
        <v>47</v>
      </c>
      <c r="D9" t="s">
        <v>35</v>
      </c>
      <c r="E9" t="s">
        <v>24</v>
      </c>
      <c r="F9" s="1">
        <v>44558</v>
      </c>
      <c r="G9" t="s">
        <v>80</v>
      </c>
      <c r="H9" t="s">
        <v>81</v>
      </c>
      <c r="I9" t="s">
        <v>82</v>
      </c>
      <c r="J9">
        <v>45820.46</v>
      </c>
      <c r="K9">
        <v>277</v>
      </c>
      <c r="L9" t="s">
        <v>40</v>
      </c>
      <c r="M9" s="1">
        <v>44568</v>
      </c>
      <c r="N9" t="s">
        <v>29</v>
      </c>
      <c r="O9" t="s">
        <v>42</v>
      </c>
      <c r="P9">
        <v>10</v>
      </c>
      <c r="Q9" t="s">
        <v>31</v>
      </c>
      <c r="R9" t="s">
        <v>44</v>
      </c>
      <c r="S9">
        <v>12</v>
      </c>
      <c r="T9">
        <v>2021</v>
      </c>
      <c r="U9" t="s">
        <v>74</v>
      </c>
    </row>
    <row r="10" spans="1:21" x14ac:dyDescent="0.3">
      <c r="A10" t="s">
        <v>83</v>
      </c>
      <c r="B10">
        <v>82</v>
      </c>
      <c r="C10" t="s">
        <v>22</v>
      </c>
      <c r="D10" t="s">
        <v>64</v>
      </c>
      <c r="E10" t="s">
        <v>70</v>
      </c>
      <c r="F10" s="1">
        <v>44013</v>
      </c>
      <c r="G10" t="s">
        <v>84</v>
      </c>
      <c r="H10" t="s">
        <v>85</v>
      </c>
      <c r="I10" t="s">
        <v>82</v>
      </c>
      <c r="J10">
        <v>50119.22</v>
      </c>
      <c r="K10">
        <v>316</v>
      </c>
      <c r="L10" t="s">
        <v>60</v>
      </c>
      <c r="M10" s="1">
        <v>44026</v>
      </c>
      <c r="N10" t="s">
        <v>52</v>
      </c>
      <c r="O10" t="s">
        <v>61</v>
      </c>
      <c r="P10">
        <v>13</v>
      </c>
      <c r="Q10" t="s">
        <v>53</v>
      </c>
      <c r="R10" t="s">
        <v>44</v>
      </c>
      <c r="S10">
        <v>7</v>
      </c>
      <c r="T10">
        <v>2020</v>
      </c>
      <c r="U10" t="s">
        <v>86</v>
      </c>
    </row>
    <row r="11" spans="1:21" x14ac:dyDescent="0.3">
      <c r="A11" t="s">
        <v>87</v>
      </c>
      <c r="B11">
        <v>58</v>
      </c>
      <c r="C11" t="s">
        <v>47</v>
      </c>
      <c r="D11" t="s">
        <v>76</v>
      </c>
      <c r="E11" t="s">
        <v>24</v>
      </c>
      <c r="F11" s="1">
        <v>44339</v>
      </c>
      <c r="G11" t="s">
        <v>88</v>
      </c>
      <c r="H11" t="s">
        <v>89</v>
      </c>
      <c r="I11" t="s">
        <v>73</v>
      </c>
      <c r="J11">
        <v>19784.63</v>
      </c>
      <c r="K11">
        <v>249</v>
      </c>
      <c r="L11" t="s">
        <v>60</v>
      </c>
      <c r="M11" s="1">
        <v>44369</v>
      </c>
      <c r="N11" t="s">
        <v>29</v>
      </c>
      <c r="O11" t="s">
        <v>42</v>
      </c>
      <c r="P11">
        <v>30</v>
      </c>
      <c r="Q11" t="s">
        <v>43</v>
      </c>
      <c r="R11" t="s">
        <v>32</v>
      </c>
      <c r="S11">
        <v>5</v>
      </c>
      <c r="T11">
        <v>2021</v>
      </c>
      <c r="U11" t="s">
        <v>90</v>
      </c>
    </row>
    <row r="12" spans="1:21" x14ac:dyDescent="0.3">
      <c r="A12" t="s">
        <v>91</v>
      </c>
      <c r="B12">
        <v>72</v>
      </c>
      <c r="C12" t="s">
        <v>22</v>
      </c>
      <c r="D12" t="s">
        <v>56</v>
      </c>
      <c r="E12" t="s">
        <v>24</v>
      </c>
      <c r="F12" s="1">
        <v>43940</v>
      </c>
      <c r="G12" t="s">
        <v>92</v>
      </c>
      <c r="H12" t="s">
        <v>93</v>
      </c>
      <c r="I12" t="s">
        <v>39</v>
      </c>
      <c r="J12">
        <v>12576.8</v>
      </c>
      <c r="K12">
        <v>394</v>
      </c>
      <c r="L12" t="s">
        <v>28</v>
      </c>
      <c r="M12" s="1">
        <v>43943</v>
      </c>
      <c r="N12" t="s">
        <v>29</v>
      </c>
      <c r="O12" t="s">
        <v>30</v>
      </c>
      <c r="P12">
        <v>3</v>
      </c>
      <c r="Q12" t="s">
        <v>53</v>
      </c>
      <c r="R12" t="s">
        <v>32</v>
      </c>
      <c r="S12">
        <v>4</v>
      </c>
      <c r="T12">
        <v>2020</v>
      </c>
      <c r="U12" t="s">
        <v>94</v>
      </c>
    </row>
    <row r="13" spans="1:21" x14ac:dyDescent="0.3">
      <c r="A13" t="s">
        <v>95</v>
      </c>
      <c r="B13">
        <v>38</v>
      </c>
      <c r="C13" t="s">
        <v>47</v>
      </c>
      <c r="D13" t="s">
        <v>48</v>
      </c>
      <c r="E13" t="s">
        <v>96</v>
      </c>
      <c r="F13" s="1">
        <v>45151</v>
      </c>
      <c r="G13" t="s">
        <v>97</v>
      </c>
      <c r="H13" t="s">
        <v>98</v>
      </c>
      <c r="I13" t="s">
        <v>39</v>
      </c>
      <c r="J13">
        <v>7999.59</v>
      </c>
      <c r="K13">
        <v>288</v>
      </c>
      <c r="L13" t="s">
        <v>28</v>
      </c>
      <c r="M13" s="1">
        <v>45174</v>
      </c>
      <c r="N13" t="s">
        <v>99</v>
      </c>
      <c r="O13" t="s">
        <v>42</v>
      </c>
      <c r="P13">
        <v>23</v>
      </c>
      <c r="Q13" t="s">
        <v>68</v>
      </c>
      <c r="R13" t="s">
        <v>100</v>
      </c>
      <c r="S13">
        <v>8</v>
      </c>
      <c r="T13">
        <v>2023</v>
      </c>
      <c r="U13" t="s">
        <v>45</v>
      </c>
    </row>
    <row r="14" spans="1:21" x14ac:dyDescent="0.3">
      <c r="A14" t="s">
        <v>101</v>
      </c>
      <c r="B14">
        <v>75</v>
      </c>
      <c r="C14" t="s">
        <v>47</v>
      </c>
      <c r="D14" t="s">
        <v>35</v>
      </c>
      <c r="E14" t="s">
        <v>57</v>
      </c>
      <c r="F14" s="1">
        <v>43811</v>
      </c>
      <c r="G14" t="s">
        <v>102</v>
      </c>
      <c r="H14" t="s">
        <v>103</v>
      </c>
      <c r="I14" t="s">
        <v>82</v>
      </c>
      <c r="J14">
        <v>43282.28</v>
      </c>
      <c r="K14">
        <v>134</v>
      </c>
      <c r="L14" t="s">
        <v>40</v>
      </c>
      <c r="M14" s="1">
        <v>43827</v>
      </c>
      <c r="N14" t="s">
        <v>67</v>
      </c>
      <c r="O14" t="s">
        <v>61</v>
      </c>
      <c r="P14">
        <v>16</v>
      </c>
      <c r="Q14" t="s">
        <v>53</v>
      </c>
      <c r="R14" t="s">
        <v>44</v>
      </c>
      <c r="S14">
        <v>12</v>
      </c>
      <c r="T14">
        <v>2019</v>
      </c>
      <c r="U14" t="s">
        <v>74</v>
      </c>
    </row>
    <row r="15" spans="1:21" x14ac:dyDescent="0.3">
      <c r="A15" t="s">
        <v>104</v>
      </c>
      <c r="B15">
        <v>68</v>
      </c>
      <c r="C15" t="s">
        <v>47</v>
      </c>
      <c r="D15" t="s">
        <v>64</v>
      </c>
      <c r="E15" t="s">
        <v>70</v>
      </c>
      <c r="F15" s="1">
        <v>43973</v>
      </c>
      <c r="G15" t="s">
        <v>105</v>
      </c>
      <c r="H15" t="s">
        <v>106</v>
      </c>
      <c r="I15" t="s">
        <v>73</v>
      </c>
      <c r="J15">
        <v>33207.71</v>
      </c>
      <c r="K15">
        <v>309</v>
      </c>
      <c r="L15" t="s">
        <v>28</v>
      </c>
      <c r="M15" s="1">
        <v>44001</v>
      </c>
      <c r="N15" t="s">
        <v>99</v>
      </c>
      <c r="O15" t="s">
        <v>30</v>
      </c>
      <c r="P15">
        <v>28</v>
      </c>
      <c r="Q15" t="s">
        <v>43</v>
      </c>
      <c r="R15" t="s">
        <v>44</v>
      </c>
      <c r="S15">
        <v>5</v>
      </c>
      <c r="T15">
        <v>2020</v>
      </c>
      <c r="U15" t="s">
        <v>90</v>
      </c>
    </row>
    <row r="16" spans="1:21" x14ac:dyDescent="0.3">
      <c r="A16" t="s">
        <v>107</v>
      </c>
      <c r="B16">
        <v>44</v>
      </c>
      <c r="C16" t="s">
        <v>47</v>
      </c>
      <c r="D16" t="s">
        <v>64</v>
      </c>
      <c r="E16" t="s">
        <v>24</v>
      </c>
      <c r="F16" s="1">
        <v>44477</v>
      </c>
      <c r="G16" t="s">
        <v>108</v>
      </c>
      <c r="H16" t="s">
        <v>109</v>
      </c>
      <c r="I16" t="s">
        <v>73</v>
      </c>
      <c r="J16">
        <v>40701.599999999999</v>
      </c>
      <c r="K16">
        <v>182</v>
      </c>
      <c r="L16" t="s">
        <v>28</v>
      </c>
      <c r="M16" s="1">
        <v>44482</v>
      </c>
      <c r="N16" t="s">
        <v>29</v>
      </c>
      <c r="O16" t="s">
        <v>30</v>
      </c>
      <c r="P16">
        <v>5</v>
      </c>
      <c r="Q16" t="s">
        <v>68</v>
      </c>
      <c r="R16" t="s">
        <v>44</v>
      </c>
      <c r="S16">
        <v>10</v>
      </c>
      <c r="T16">
        <v>2021</v>
      </c>
      <c r="U16" t="s">
        <v>110</v>
      </c>
    </row>
    <row r="17" spans="1:21" x14ac:dyDescent="0.3">
      <c r="A17" t="s">
        <v>111</v>
      </c>
      <c r="B17">
        <v>46</v>
      </c>
      <c r="C17" t="s">
        <v>47</v>
      </c>
      <c r="D17" t="s">
        <v>76</v>
      </c>
      <c r="E17" t="s">
        <v>36</v>
      </c>
      <c r="F17" s="1">
        <v>44927</v>
      </c>
      <c r="G17" t="s">
        <v>112</v>
      </c>
      <c r="H17" t="s">
        <v>113</v>
      </c>
      <c r="I17" t="s">
        <v>27</v>
      </c>
      <c r="J17">
        <v>12263.36</v>
      </c>
      <c r="K17">
        <v>465</v>
      </c>
      <c r="L17" t="s">
        <v>60</v>
      </c>
      <c r="M17" s="1">
        <v>44937</v>
      </c>
      <c r="N17" t="s">
        <v>52</v>
      </c>
      <c r="O17" t="s">
        <v>42</v>
      </c>
      <c r="P17">
        <v>10</v>
      </c>
      <c r="Q17" t="s">
        <v>68</v>
      </c>
      <c r="R17" t="s">
        <v>32</v>
      </c>
      <c r="S17">
        <v>1</v>
      </c>
      <c r="T17">
        <v>2023</v>
      </c>
      <c r="U17" t="s">
        <v>33</v>
      </c>
    </row>
    <row r="18" spans="1:21" x14ac:dyDescent="0.3">
      <c r="A18" t="s">
        <v>114</v>
      </c>
      <c r="B18">
        <v>63</v>
      </c>
      <c r="C18" t="s">
        <v>47</v>
      </c>
      <c r="D18" t="s">
        <v>35</v>
      </c>
      <c r="E18" t="s">
        <v>115</v>
      </c>
      <c r="F18" s="1">
        <v>44005</v>
      </c>
      <c r="G18" t="s">
        <v>116</v>
      </c>
      <c r="H18" t="s">
        <v>117</v>
      </c>
      <c r="I18" t="s">
        <v>73</v>
      </c>
      <c r="J18">
        <v>24499.85</v>
      </c>
      <c r="K18">
        <v>114</v>
      </c>
      <c r="L18" t="s">
        <v>60</v>
      </c>
      <c r="M18" s="1">
        <v>44026</v>
      </c>
      <c r="N18" t="s">
        <v>29</v>
      </c>
      <c r="O18" t="s">
        <v>30</v>
      </c>
      <c r="P18">
        <v>21</v>
      </c>
      <c r="Q18" t="s">
        <v>43</v>
      </c>
      <c r="R18" t="s">
        <v>32</v>
      </c>
      <c r="S18">
        <v>6</v>
      </c>
      <c r="T18">
        <v>2020</v>
      </c>
      <c r="U18" t="s">
        <v>118</v>
      </c>
    </row>
    <row r="19" spans="1:21" x14ac:dyDescent="0.3">
      <c r="A19" t="s">
        <v>119</v>
      </c>
      <c r="B19">
        <v>38</v>
      </c>
      <c r="C19" t="s">
        <v>22</v>
      </c>
      <c r="D19" t="s">
        <v>76</v>
      </c>
      <c r="E19" t="s">
        <v>36</v>
      </c>
      <c r="F19" s="1">
        <v>43898</v>
      </c>
      <c r="G19" t="s">
        <v>120</v>
      </c>
      <c r="H19" t="s">
        <v>121</v>
      </c>
      <c r="I19" t="s">
        <v>82</v>
      </c>
      <c r="J19">
        <v>17440.47</v>
      </c>
      <c r="K19">
        <v>449</v>
      </c>
      <c r="L19" t="s">
        <v>28</v>
      </c>
      <c r="M19" s="1">
        <v>43923</v>
      </c>
      <c r="N19" t="s">
        <v>29</v>
      </c>
      <c r="O19" t="s">
        <v>61</v>
      </c>
      <c r="P19">
        <v>25</v>
      </c>
      <c r="Q19" t="s">
        <v>68</v>
      </c>
      <c r="R19" t="s">
        <v>32</v>
      </c>
      <c r="S19">
        <v>3</v>
      </c>
      <c r="T19">
        <v>2020</v>
      </c>
      <c r="U19" t="s">
        <v>122</v>
      </c>
    </row>
    <row r="20" spans="1:21" x14ac:dyDescent="0.3">
      <c r="A20" t="s">
        <v>123</v>
      </c>
      <c r="B20">
        <v>34</v>
      </c>
      <c r="C20" t="s">
        <v>47</v>
      </c>
      <c r="D20" t="s">
        <v>48</v>
      </c>
      <c r="E20" t="s">
        <v>96</v>
      </c>
      <c r="F20" s="1">
        <v>44259</v>
      </c>
      <c r="G20" t="s">
        <v>124</v>
      </c>
      <c r="H20" t="s">
        <v>125</v>
      </c>
      <c r="I20" t="s">
        <v>27</v>
      </c>
      <c r="J20">
        <v>18843.02</v>
      </c>
      <c r="K20">
        <v>260</v>
      </c>
      <c r="L20" t="s">
        <v>60</v>
      </c>
      <c r="M20" s="1">
        <v>44269</v>
      </c>
      <c r="N20" t="s">
        <v>52</v>
      </c>
      <c r="O20" t="s">
        <v>61</v>
      </c>
      <c r="P20">
        <v>10</v>
      </c>
      <c r="Q20" t="s">
        <v>31</v>
      </c>
      <c r="R20" t="s">
        <v>32</v>
      </c>
      <c r="S20">
        <v>3</v>
      </c>
      <c r="T20">
        <v>2021</v>
      </c>
      <c r="U20" t="s">
        <v>122</v>
      </c>
    </row>
    <row r="21" spans="1:21" x14ac:dyDescent="0.3">
      <c r="A21" t="s">
        <v>126</v>
      </c>
      <c r="B21">
        <v>63</v>
      </c>
      <c r="C21" t="s">
        <v>22</v>
      </c>
      <c r="D21" t="s">
        <v>127</v>
      </c>
      <c r="E21" t="s">
        <v>70</v>
      </c>
      <c r="F21" s="1">
        <v>44880</v>
      </c>
      <c r="G21" t="s">
        <v>128</v>
      </c>
      <c r="H21" t="s">
        <v>129</v>
      </c>
      <c r="I21" t="s">
        <v>82</v>
      </c>
      <c r="J21">
        <v>23762.2</v>
      </c>
      <c r="K21">
        <v>465</v>
      </c>
      <c r="L21" t="s">
        <v>60</v>
      </c>
      <c r="M21" s="1">
        <v>44887</v>
      </c>
      <c r="N21" t="s">
        <v>67</v>
      </c>
      <c r="O21" t="s">
        <v>30</v>
      </c>
      <c r="P21">
        <v>7</v>
      </c>
      <c r="Q21" t="s">
        <v>43</v>
      </c>
      <c r="R21" t="s">
        <v>32</v>
      </c>
      <c r="S21">
        <v>11</v>
      </c>
      <c r="T21">
        <v>2022</v>
      </c>
      <c r="U21" t="s">
        <v>62</v>
      </c>
    </row>
    <row r="22" spans="1:21" x14ac:dyDescent="0.3">
      <c r="A22" t="s">
        <v>130</v>
      </c>
      <c r="B22">
        <v>67</v>
      </c>
      <c r="C22" t="s">
        <v>47</v>
      </c>
      <c r="D22" t="s">
        <v>48</v>
      </c>
      <c r="E22" t="s">
        <v>70</v>
      </c>
      <c r="F22" s="1">
        <v>45105</v>
      </c>
      <c r="G22" t="s">
        <v>131</v>
      </c>
      <c r="H22" t="s">
        <v>132</v>
      </c>
      <c r="I22" t="s">
        <v>27</v>
      </c>
      <c r="J22">
        <v>42.51</v>
      </c>
      <c r="K22">
        <v>115</v>
      </c>
      <c r="L22" t="s">
        <v>60</v>
      </c>
      <c r="M22" s="1">
        <v>45109</v>
      </c>
      <c r="N22" t="s">
        <v>52</v>
      </c>
      <c r="O22" t="s">
        <v>30</v>
      </c>
      <c r="P22">
        <v>4</v>
      </c>
      <c r="Q22" t="s">
        <v>43</v>
      </c>
      <c r="R22" t="s">
        <v>100</v>
      </c>
      <c r="S22">
        <v>6</v>
      </c>
      <c r="T22">
        <v>2023</v>
      </c>
      <c r="U22" t="s">
        <v>118</v>
      </c>
    </row>
    <row r="23" spans="1:21" x14ac:dyDescent="0.3">
      <c r="A23" t="s">
        <v>133</v>
      </c>
      <c r="B23">
        <v>48</v>
      </c>
      <c r="C23" t="s">
        <v>22</v>
      </c>
      <c r="D23" t="s">
        <v>127</v>
      </c>
      <c r="E23" t="s">
        <v>70</v>
      </c>
      <c r="F23" s="1">
        <v>43851</v>
      </c>
      <c r="G23" t="s">
        <v>134</v>
      </c>
      <c r="H23" t="s">
        <v>135</v>
      </c>
      <c r="I23" t="s">
        <v>51</v>
      </c>
      <c r="J23">
        <v>17695.91</v>
      </c>
      <c r="K23">
        <v>295</v>
      </c>
      <c r="L23" t="s">
        <v>28</v>
      </c>
      <c r="M23" s="1">
        <v>43870</v>
      </c>
      <c r="N23" t="s">
        <v>99</v>
      </c>
      <c r="O23" t="s">
        <v>30</v>
      </c>
      <c r="P23">
        <v>19</v>
      </c>
      <c r="Q23" t="s">
        <v>68</v>
      </c>
      <c r="R23" t="s">
        <v>32</v>
      </c>
      <c r="S23">
        <v>1</v>
      </c>
      <c r="T23">
        <v>2020</v>
      </c>
      <c r="U23" t="s">
        <v>33</v>
      </c>
    </row>
    <row r="24" spans="1:21" x14ac:dyDescent="0.3">
      <c r="A24" t="s">
        <v>136</v>
      </c>
      <c r="B24">
        <v>58</v>
      </c>
      <c r="C24" t="s">
        <v>47</v>
      </c>
      <c r="D24" t="s">
        <v>56</v>
      </c>
      <c r="E24" t="s">
        <v>115</v>
      </c>
      <c r="F24" s="1">
        <v>44693</v>
      </c>
      <c r="G24" t="s">
        <v>137</v>
      </c>
      <c r="H24" t="s">
        <v>138</v>
      </c>
      <c r="I24" t="s">
        <v>51</v>
      </c>
      <c r="J24">
        <v>5998.1</v>
      </c>
      <c r="K24">
        <v>327</v>
      </c>
      <c r="L24" t="s">
        <v>28</v>
      </c>
      <c r="M24" s="1">
        <v>44722</v>
      </c>
      <c r="N24" t="s">
        <v>99</v>
      </c>
      <c r="O24" t="s">
        <v>42</v>
      </c>
      <c r="P24">
        <v>29</v>
      </c>
      <c r="Q24" t="s">
        <v>43</v>
      </c>
      <c r="R24" t="s">
        <v>100</v>
      </c>
      <c r="S24">
        <v>5</v>
      </c>
      <c r="T24">
        <v>2022</v>
      </c>
      <c r="U24" t="s">
        <v>90</v>
      </c>
    </row>
    <row r="25" spans="1:21" x14ac:dyDescent="0.3">
      <c r="A25" t="s">
        <v>139</v>
      </c>
      <c r="B25">
        <v>59</v>
      </c>
      <c r="C25" t="s">
        <v>22</v>
      </c>
      <c r="D25" t="s">
        <v>35</v>
      </c>
      <c r="E25" t="s">
        <v>70</v>
      </c>
      <c r="F25" s="1">
        <v>44410</v>
      </c>
      <c r="G25" t="s">
        <v>140</v>
      </c>
      <c r="H25" t="s">
        <v>141</v>
      </c>
      <c r="I25" t="s">
        <v>51</v>
      </c>
      <c r="J25">
        <v>25250.05</v>
      </c>
      <c r="K25">
        <v>119</v>
      </c>
      <c r="L25" t="s">
        <v>28</v>
      </c>
      <c r="M25" s="1">
        <v>44420</v>
      </c>
      <c r="N25" t="s">
        <v>99</v>
      </c>
      <c r="O25" t="s">
        <v>42</v>
      </c>
      <c r="P25">
        <v>10</v>
      </c>
      <c r="Q25" t="s">
        <v>43</v>
      </c>
      <c r="R25" t="s">
        <v>32</v>
      </c>
      <c r="S25">
        <v>8</v>
      </c>
      <c r="T25">
        <v>2021</v>
      </c>
      <c r="U25" t="s">
        <v>45</v>
      </c>
    </row>
    <row r="26" spans="1:21" x14ac:dyDescent="0.3">
      <c r="A26" t="s">
        <v>142</v>
      </c>
      <c r="B26">
        <v>72</v>
      </c>
      <c r="C26" t="s">
        <v>47</v>
      </c>
      <c r="D26" t="s">
        <v>64</v>
      </c>
      <c r="E26" t="s">
        <v>96</v>
      </c>
      <c r="F26" s="1">
        <v>43966</v>
      </c>
      <c r="G26" t="s">
        <v>143</v>
      </c>
      <c r="H26" t="s">
        <v>144</v>
      </c>
      <c r="I26" t="s">
        <v>39</v>
      </c>
      <c r="J26">
        <v>33211.300000000003</v>
      </c>
      <c r="K26">
        <v>109</v>
      </c>
      <c r="L26" t="s">
        <v>40</v>
      </c>
      <c r="M26" s="1">
        <v>43990</v>
      </c>
      <c r="N26" t="s">
        <v>29</v>
      </c>
      <c r="O26" t="s">
        <v>42</v>
      </c>
      <c r="P26">
        <v>24</v>
      </c>
      <c r="Q26" t="s">
        <v>53</v>
      </c>
      <c r="R26" t="s">
        <v>44</v>
      </c>
      <c r="S26">
        <v>5</v>
      </c>
      <c r="T26">
        <v>2020</v>
      </c>
      <c r="U26" t="s">
        <v>90</v>
      </c>
    </row>
    <row r="27" spans="1:21" x14ac:dyDescent="0.3">
      <c r="A27" t="s">
        <v>145</v>
      </c>
      <c r="B27">
        <v>73</v>
      </c>
      <c r="C27" t="s">
        <v>22</v>
      </c>
      <c r="D27" t="s">
        <v>64</v>
      </c>
      <c r="E27" t="s">
        <v>36</v>
      </c>
      <c r="F27" s="1">
        <v>43966</v>
      </c>
      <c r="G27" t="s">
        <v>146</v>
      </c>
      <c r="H27" t="s">
        <v>147</v>
      </c>
      <c r="I27" t="s">
        <v>39</v>
      </c>
      <c r="J27">
        <v>19746.830000000002</v>
      </c>
      <c r="K27">
        <v>162</v>
      </c>
      <c r="L27" t="s">
        <v>28</v>
      </c>
      <c r="M27" s="1">
        <v>43971</v>
      </c>
      <c r="N27" t="s">
        <v>52</v>
      </c>
      <c r="O27" t="s">
        <v>61</v>
      </c>
      <c r="P27">
        <v>5</v>
      </c>
      <c r="Q27" t="s">
        <v>53</v>
      </c>
      <c r="R27" t="s">
        <v>32</v>
      </c>
      <c r="S27">
        <v>5</v>
      </c>
      <c r="T27">
        <v>2020</v>
      </c>
      <c r="U27" t="s">
        <v>90</v>
      </c>
    </row>
    <row r="28" spans="1:21" x14ac:dyDescent="0.3">
      <c r="A28" t="s">
        <v>148</v>
      </c>
      <c r="B28">
        <v>51</v>
      </c>
      <c r="C28" t="s">
        <v>47</v>
      </c>
      <c r="D28" t="s">
        <v>149</v>
      </c>
      <c r="E28" t="s">
        <v>70</v>
      </c>
      <c r="F28" s="1">
        <v>45283</v>
      </c>
      <c r="G28" t="s">
        <v>150</v>
      </c>
      <c r="H28" t="s">
        <v>151</v>
      </c>
      <c r="I28" t="s">
        <v>27</v>
      </c>
      <c r="J28">
        <v>26786.53</v>
      </c>
      <c r="K28">
        <v>401</v>
      </c>
      <c r="L28" t="s">
        <v>60</v>
      </c>
      <c r="M28" s="1">
        <v>45310</v>
      </c>
      <c r="N28" t="s">
        <v>41</v>
      </c>
      <c r="O28" t="s">
        <v>30</v>
      </c>
      <c r="P28">
        <v>27</v>
      </c>
      <c r="Q28" t="s">
        <v>68</v>
      </c>
      <c r="R28" t="s">
        <v>32</v>
      </c>
      <c r="S28">
        <v>12</v>
      </c>
      <c r="T28">
        <v>2023</v>
      </c>
      <c r="U28" t="s">
        <v>74</v>
      </c>
    </row>
    <row r="29" spans="1:21" x14ac:dyDescent="0.3">
      <c r="A29" t="s">
        <v>152</v>
      </c>
      <c r="B29">
        <v>34</v>
      </c>
      <c r="C29" t="s">
        <v>47</v>
      </c>
      <c r="D29" t="s">
        <v>35</v>
      </c>
      <c r="E29" t="s">
        <v>57</v>
      </c>
      <c r="F29" s="1">
        <v>44733</v>
      </c>
      <c r="G29" t="s">
        <v>153</v>
      </c>
      <c r="H29" t="s">
        <v>154</v>
      </c>
      <c r="I29" t="s">
        <v>73</v>
      </c>
      <c r="J29">
        <v>18834.8</v>
      </c>
      <c r="K29">
        <v>157</v>
      </c>
      <c r="L29" t="s">
        <v>40</v>
      </c>
      <c r="M29" s="1">
        <v>44742</v>
      </c>
      <c r="N29" t="s">
        <v>99</v>
      </c>
      <c r="O29" t="s">
        <v>61</v>
      </c>
      <c r="P29">
        <v>9</v>
      </c>
      <c r="Q29" t="s">
        <v>31</v>
      </c>
      <c r="R29" t="s">
        <v>32</v>
      </c>
      <c r="S29">
        <v>6</v>
      </c>
      <c r="T29">
        <v>2022</v>
      </c>
      <c r="U29" t="s">
        <v>118</v>
      </c>
    </row>
    <row r="30" spans="1:21" x14ac:dyDescent="0.3">
      <c r="A30" t="s">
        <v>155</v>
      </c>
      <c r="B30">
        <v>38</v>
      </c>
      <c r="C30" t="s">
        <v>47</v>
      </c>
      <c r="D30" t="s">
        <v>149</v>
      </c>
      <c r="E30" t="s">
        <v>96</v>
      </c>
      <c r="F30" s="1">
        <v>44199</v>
      </c>
      <c r="G30" t="s">
        <v>156</v>
      </c>
      <c r="H30" t="s">
        <v>157</v>
      </c>
      <c r="I30" t="s">
        <v>82</v>
      </c>
      <c r="J30">
        <v>32643.3</v>
      </c>
      <c r="K30">
        <v>223</v>
      </c>
      <c r="L30" t="s">
        <v>40</v>
      </c>
      <c r="M30" s="1">
        <v>44212</v>
      </c>
      <c r="N30" t="s">
        <v>67</v>
      </c>
      <c r="O30" t="s">
        <v>30</v>
      </c>
      <c r="P30">
        <v>13</v>
      </c>
      <c r="Q30" t="s">
        <v>68</v>
      </c>
      <c r="R30" t="s">
        <v>44</v>
      </c>
      <c r="S30">
        <v>1</v>
      </c>
      <c r="T30">
        <v>2021</v>
      </c>
      <c r="U30" t="s">
        <v>33</v>
      </c>
    </row>
    <row r="31" spans="1:21" x14ac:dyDescent="0.3">
      <c r="A31" t="s">
        <v>158</v>
      </c>
      <c r="B31">
        <v>63</v>
      </c>
      <c r="C31" t="s">
        <v>47</v>
      </c>
      <c r="D31" t="s">
        <v>127</v>
      </c>
      <c r="E31" t="s">
        <v>96</v>
      </c>
      <c r="F31" s="1">
        <v>45202</v>
      </c>
      <c r="G31" t="s">
        <v>159</v>
      </c>
      <c r="H31" t="s">
        <v>160</v>
      </c>
      <c r="I31" t="s">
        <v>51</v>
      </c>
      <c r="J31">
        <v>5767.01</v>
      </c>
      <c r="K31">
        <v>293</v>
      </c>
      <c r="L31" t="s">
        <v>60</v>
      </c>
      <c r="M31" s="1">
        <v>45211</v>
      </c>
      <c r="N31" t="s">
        <v>29</v>
      </c>
      <c r="O31" t="s">
        <v>61</v>
      </c>
      <c r="P31">
        <v>9</v>
      </c>
      <c r="Q31" t="s">
        <v>43</v>
      </c>
      <c r="R31" t="s">
        <v>100</v>
      </c>
      <c r="S31">
        <v>10</v>
      </c>
      <c r="T31">
        <v>2023</v>
      </c>
      <c r="U31" t="s">
        <v>110</v>
      </c>
    </row>
    <row r="32" spans="1:21" x14ac:dyDescent="0.3">
      <c r="A32" t="s">
        <v>161</v>
      </c>
      <c r="B32">
        <v>34</v>
      </c>
      <c r="C32" t="s">
        <v>22</v>
      </c>
      <c r="D32" t="s">
        <v>23</v>
      </c>
      <c r="E32" t="s">
        <v>70</v>
      </c>
      <c r="F32" s="1">
        <v>43695</v>
      </c>
      <c r="G32" t="s">
        <v>162</v>
      </c>
      <c r="H32" t="s">
        <v>163</v>
      </c>
      <c r="I32" t="s">
        <v>82</v>
      </c>
      <c r="J32">
        <v>47909.13</v>
      </c>
      <c r="K32">
        <v>371</v>
      </c>
      <c r="L32" t="s">
        <v>28</v>
      </c>
      <c r="M32" s="1">
        <v>43709</v>
      </c>
      <c r="N32" t="s">
        <v>41</v>
      </c>
      <c r="O32" t="s">
        <v>42</v>
      </c>
      <c r="P32">
        <v>14</v>
      </c>
      <c r="Q32" t="s">
        <v>31</v>
      </c>
      <c r="R32" t="s">
        <v>44</v>
      </c>
      <c r="S32">
        <v>8</v>
      </c>
      <c r="T32">
        <v>2019</v>
      </c>
      <c r="U32" t="s">
        <v>45</v>
      </c>
    </row>
    <row r="33" spans="1:21" x14ac:dyDescent="0.3">
      <c r="A33" t="s">
        <v>164</v>
      </c>
      <c r="B33">
        <v>23</v>
      </c>
      <c r="C33" t="s">
        <v>47</v>
      </c>
      <c r="D33" t="s">
        <v>35</v>
      </c>
      <c r="E33" t="s">
        <v>115</v>
      </c>
      <c r="F33" s="1">
        <v>43772</v>
      </c>
      <c r="G33" t="s">
        <v>165</v>
      </c>
      <c r="H33" t="s">
        <v>166</v>
      </c>
      <c r="I33" t="s">
        <v>73</v>
      </c>
      <c r="J33">
        <v>25835.32</v>
      </c>
      <c r="K33">
        <v>108</v>
      </c>
      <c r="L33" t="s">
        <v>28</v>
      </c>
      <c r="M33" s="1">
        <v>43798</v>
      </c>
      <c r="N33" t="s">
        <v>67</v>
      </c>
      <c r="O33" t="s">
        <v>61</v>
      </c>
      <c r="P33">
        <v>26</v>
      </c>
      <c r="Q33" t="s">
        <v>31</v>
      </c>
      <c r="R33" t="s">
        <v>32</v>
      </c>
      <c r="S33">
        <v>11</v>
      </c>
      <c r="T33">
        <v>2019</v>
      </c>
      <c r="U33" t="s">
        <v>62</v>
      </c>
    </row>
    <row r="34" spans="1:21" x14ac:dyDescent="0.3">
      <c r="A34" t="s">
        <v>167</v>
      </c>
      <c r="B34">
        <v>78</v>
      </c>
      <c r="C34" t="s">
        <v>22</v>
      </c>
      <c r="D34" t="s">
        <v>76</v>
      </c>
      <c r="E34" t="s">
        <v>115</v>
      </c>
      <c r="F34" s="1">
        <v>45064</v>
      </c>
      <c r="G34" t="s">
        <v>168</v>
      </c>
      <c r="H34" t="s">
        <v>169</v>
      </c>
      <c r="I34" t="s">
        <v>39</v>
      </c>
      <c r="J34">
        <v>17993.23</v>
      </c>
      <c r="K34">
        <v>245</v>
      </c>
      <c r="L34" t="s">
        <v>60</v>
      </c>
      <c r="M34" s="1">
        <v>45092</v>
      </c>
      <c r="N34" t="s">
        <v>67</v>
      </c>
      <c r="O34" t="s">
        <v>30</v>
      </c>
      <c r="P34">
        <v>28</v>
      </c>
      <c r="Q34" t="s">
        <v>53</v>
      </c>
      <c r="R34" t="s">
        <v>32</v>
      </c>
      <c r="S34">
        <v>5</v>
      </c>
      <c r="T34">
        <v>2023</v>
      </c>
      <c r="U34" t="s">
        <v>90</v>
      </c>
    </row>
    <row r="35" spans="1:21" x14ac:dyDescent="0.3">
      <c r="A35" t="s">
        <v>170</v>
      </c>
      <c r="B35">
        <v>43</v>
      </c>
      <c r="C35" t="s">
        <v>22</v>
      </c>
      <c r="D35" t="s">
        <v>76</v>
      </c>
      <c r="E35" t="s">
        <v>24</v>
      </c>
      <c r="F35" s="1">
        <v>45070</v>
      </c>
      <c r="G35" t="s">
        <v>171</v>
      </c>
      <c r="H35" t="s">
        <v>172</v>
      </c>
      <c r="I35" t="s">
        <v>39</v>
      </c>
      <c r="J35">
        <v>21185.95</v>
      </c>
      <c r="K35">
        <v>494</v>
      </c>
      <c r="L35" t="s">
        <v>60</v>
      </c>
      <c r="M35" s="1">
        <v>45080</v>
      </c>
      <c r="N35" t="s">
        <v>41</v>
      </c>
      <c r="O35" t="s">
        <v>30</v>
      </c>
      <c r="P35">
        <v>10</v>
      </c>
      <c r="Q35" t="s">
        <v>68</v>
      </c>
      <c r="R35" t="s">
        <v>32</v>
      </c>
      <c r="S35">
        <v>5</v>
      </c>
      <c r="T35">
        <v>2023</v>
      </c>
      <c r="U35" t="s">
        <v>90</v>
      </c>
    </row>
    <row r="36" spans="1:21" x14ac:dyDescent="0.3">
      <c r="A36" t="s">
        <v>173</v>
      </c>
      <c r="B36">
        <v>30</v>
      </c>
      <c r="C36" t="s">
        <v>47</v>
      </c>
      <c r="D36" t="s">
        <v>64</v>
      </c>
      <c r="E36" t="s">
        <v>57</v>
      </c>
      <c r="F36" s="1">
        <v>43847</v>
      </c>
      <c r="G36" t="s">
        <v>174</v>
      </c>
      <c r="H36" t="s">
        <v>175</v>
      </c>
      <c r="I36" t="s">
        <v>27</v>
      </c>
      <c r="J36">
        <v>8408.9500000000007</v>
      </c>
      <c r="K36">
        <v>285</v>
      </c>
      <c r="L36" t="s">
        <v>40</v>
      </c>
      <c r="M36" s="1">
        <v>43871</v>
      </c>
      <c r="N36" t="s">
        <v>99</v>
      </c>
      <c r="O36" t="s">
        <v>30</v>
      </c>
      <c r="P36">
        <v>24</v>
      </c>
      <c r="Q36" t="s">
        <v>31</v>
      </c>
      <c r="R36" t="s">
        <v>100</v>
      </c>
      <c r="S36">
        <v>1</v>
      </c>
      <c r="T36">
        <v>2020</v>
      </c>
      <c r="U36" t="s">
        <v>33</v>
      </c>
    </row>
    <row r="37" spans="1:21" x14ac:dyDescent="0.3">
      <c r="A37" t="s">
        <v>176</v>
      </c>
      <c r="B37">
        <v>25</v>
      </c>
      <c r="C37" t="s">
        <v>47</v>
      </c>
      <c r="D37" t="s">
        <v>64</v>
      </c>
      <c r="E37" t="s">
        <v>70</v>
      </c>
      <c r="F37" s="1">
        <v>44203</v>
      </c>
      <c r="G37" t="s">
        <v>177</v>
      </c>
      <c r="H37" t="s">
        <v>178</v>
      </c>
      <c r="I37" t="s">
        <v>39</v>
      </c>
      <c r="J37">
        <v>45453.42</v>
      </c>
      <c r="K37">
        <v>228</v>
      </c>
      <c r="L37" t="s">
        <v>60</v>
      </c>
      <c r="M37" s="1">
        <v>44222</v>
      </c>
      <c r="N37" t="s">
        <v>99</v>
      </c>
      <c r="O37" t="s">
        <v>61</v>
      </c>
      <c r="P37">
        <v>19</v>
      </c>
      <c r="Q37" t="s">
        <v>31</v>
      </c>
      <c r="R37" t="s">
        <v>44</v>
      </c>
      <c r="S37">
        <v>1</v>
      </c>
      <c r="T37">
        <v>2021</v>
      </c>
      <c r="U37" t="s">
        <v>33</v>
      </c>
    </row>
    <row r="38" spans="1:21" x14ac:dyDescent="0.3">
      <c r="A38" t="s">
        <v>179</v>
      </c>
      <c r="B38">
        <v>33</v>
      </c>
      <c r="C38" t="s">
        <v>22</v>
      </c>
      <c r="D38" t="s">
        <v>64</v>
      </c>
      <c r="E38" t="s">
        <v>57</v>
      </c>
      <c r="F38" s="1">
        <v>43752</v>
      </c>
      <c r="G38" t="s">
        <v>180</v>
      </c>
      <c r="H38" t="s">
        <v>181</v>
      </c>
      <c r="I38" t="s">
        <v>51</v>
      </c>
      <c r="J38">
        <v>4397.78</v>
      </c>
      <c r="K38">
        <v>481</v>
      </c>
      <c r="L38" t="s">
        <v>28</v>
      </c>
      <c r="M38" s="1">
        <v>43757</v>
      </c>
      <c r="N38" t="s">
        <v>29</v>
      </c>
      <c r="O38" t="s">
        <v>42</v>
      </c>
      <c r="P38">
        <v>5</v>
      </c>
      <c r="Q38" t="s">
        <v>31</v>
      </c>
      <c r="R38" t="s">
        <v>100</v>
      </c>
      <c r="S38">
        <v>10</v>
      </c>
      <c r="T38">
        <v>2019</v>
      </c>
      <c r="U38" t="s">
        <v>110</v>
      </c>
    </row>
    <row r="39" spans="1:21" x14ac:dyDescent="0.3">
      <c r="A39" t="s">
        <v>182</v>
      </c>
      <c r="B39">
        <v>26</v>
      </c>
      <c r="C39" t="s">
        <v>47</v>
      </c>
      <c r="D39" t="s">
        <v>23</v>
      </c>
      <c r="E39" t="s">
        <v>96</v>
      </c>
      <c r="F39" s="1">
        <v>44549</v>
      </c>
      <c r="G39" t="s">
        <v>183</v>
      </c>
      <c r="H39" t="s">
        <v>184</v>
      </c>
      <c r="I39" t="s">
        <v>51</v>
      </c>
      <c r="J39">
        <v>9380.33</v>
      </c>
      <c r="K39">
        <v>212</v>
      </c>
      <c r="L39" t="s">
        <v>28</v>
      </c>
      <c r="M39" s="1">
        <v>44577</v>
      </c>
      <c r="N39" t="s">
        <v>41</v>
      </c>
      <c r="O39" t="s">
        <v>30</v>
      </c>
      <c r="P39">
        <v>28</v>
      </c>
      <c r="Q39" t="s">
        <v>31</v>
      </c>
      <c r="R39" t="s">
        <v>100</v>
      </c>
      <c r="S39">
        <v>12</v>
      </c>
      <c r="T39">
        <v>2021</v>
      </c>
      <c r="U39" t="s">
        <v>74</v>
      </c>
    </row>
    <row r="40" spans="1:21" x14ac:dyDescent="0.3">
      <c r="A40" t="s">
        <v>185</v>
      </c>
      <c r="B40">
        <v>70</v>
      </c>
      <c r="C40" t="s">
        <v>47</v>
      </c>
      <c r="D40" t="s">
        <v>149</v>
      </c>
      <c r="E40" t="s">
        <v>57</v>
      </c>
      <c r="F40" s="1">
        <v>44632</v>
      </c>
      <c r="G40" t="s">
        <v>186</v>
      </c>
      <c r="H40" t="s">
        <v>187</v>
      </c>
      <c r="I40" t="s">
        <v>82</v>
      </c>
      <c r="J40">
        <v>48290.69</v>
      </c>
      <c r="K40">
        <v>113</v>
      </c>
      <c r="L40" t="s">
        <v>40</v>
      </c>
      <c r="M40" s="1">
        <v>44649</v>
      </c>
      <c r="N40" t="s">
        <v>99</v>
      </c>
      <c r="O40" t="s">
        <v>61</v>
      </c>
      <c r="P40">
        <v>17</v>
      </c>
      <c r="Q40" t="s">
        <v>43</v>
      </c>
      <c r="R40" t="s">
        <v>44</v>
      </c>
      <c r="S40">
        <v>3</v>
      </c>
      <c r="T40">
        <v>2022</v>
      </c>
      <c r="U40" t="s">
        <v>122</v>
      </c>
    </row>
    <row r="41" spans="1:21" x14ac:dyDescent="0.3">
      <c r="A41" t="s">
        <v>188</v>
      </c>
      <c r="B41">
        <v>57</v>
      </c>
      <c r="C41" t="s">
        <v>47</v>
      </c>
      <c r="D41" t="s">
        <v>23</v>
      </c>
      <c r="E41" t="s">
        <v>36</v>
      </c>
      <c r="F41" s="1">
        <v>44213</v>
      </c>
      <c r="G41" t="s">
        <v>189</v>
      </c>
      <c r="H41" t="s">
        <v>190</v>
      </c>
      <c r="I41" t="s">
        <v>39</v>
      </c>
      <c r="J41">
        <v>32973.94</v>
      </c>
      <c r="K41">
        <v>272</v>
      </c>
      <c r="L41" t="s">
        <v>28</v>
      </c>
      <c r="M41" s="1">
        <v>44225</v>
      </c>
      <c r="N41" t="s">
        <v>67</v>
      </c>
      <c r="O41" t="s">
        <v>61</v>
      </c>
      <c r="P41">
        <v>12</v>
      </c>
      <c r="Q41" t="s">
        <v>43</v>
      </c>
      <c r="R41" t="s">
        <v>44</v>
      </c>
      <c r="S41">
        <v>1</v>
      </c>
      <c r="T41">
        <v>2021</v>
      </c>
      <c r="U41" t="s">
        <v>33</v>
      </c>
    </row>
    <row r="42" spans="1:21" x14ac:dyDescent="0.3">
      <c r="A42" t="s">
        <v>191</v>
      </c>
      <c r="B42">
        <v>74</v>
      </c>
      <c r="C42" t="s">
        <v>47</v>
      </c>
      <c r="D42" t="s">
        <v>23</v>
      </c>
      <c r="E42" t="s">
        <v>96</v>
      </c>
      <c r="F42" s="1">
        <v>44454</v>
      </c>
      <c r="G42" t="s">
        <v>192</v>
      </c>
      <c r="H42" t="s">
        <v>193</v>
      </c>
      <c r="I42" t="s">
        <v>82</v>
      </c>
      <c r="J42">
        <v>49943.28</v>
      </c>
      <c r="K42">
        <v>478</v>
      </c>
      <c r="L42" t="s">
        <v>40</v>
      </c>
      <c r="M42" s="1">
        <v>44474</v>
      </c>
      <c r="N42" t="s">
        <v>99</v>
      </c>
      <c r="O42" t="s">
        <v>30</v>
      </c>
      <c r="P42">
        <v>20</v>
      </c>
      <c r="Q42" t="s">
        <v>53</v>
      </c>
      <c r="R42" t="s">
        <v>44</v>
      </c>
      <c r="S42">
        <v>9</v>
      </c>
      <c r="T42">
        <v>2021</v>
      </c>
      <c r="U42" t="s">
        <v>54</v>
      </c>
    </row>
    <row r="43" spans="1:21" x14ac:dyDescent="0.3">
      <c r="A43" t="s">
        <v>194</v>
      </c>
      <c r="B43">
        <v>81</v>
      </c>
      <c r="C43" t="s">
        <v>22</v>
      </c>
      <c r="D43" t="s">
        <v>35</v>
      </c>
      <c r="E43" t="s">
        <v>96</v>
      </c>
      <c r="F43" s="1">
        <v>43857</v>
      </c>
      <c r="G43" t="s">
        <v>195</v>
      </c>
      <c r="H43" t="s">
        <v>196</v>
      </c>
      <c r="I43" t="s">
        <v>82</v>
      </c>
      <c r="J43">
        <v>35633.96</v>
      </c>
      <c r="K43">
        <v>196</v>
      </c>
      <c r="L43" t="s">
        <v>28</v>
      </c>
      <c r="M43" s="1">
        <v>43870</v>
      </c>
      <c r="N43" t="s">
        <v>52</v>
      </c>
      <c r="O43" t="s">
        <v>30</v>
      </c>
      <c r="P43">
        <v>13</v>
      </c>
      <c r="Q43" t="s">
        <v>53</v>
      </c>
      <c r="R43" t="s">
        <v>44</v>
      </c>
      <c r="S43">
        <v>1</v>
      </c>
      <c r="T43">
        <v>2020</v>
      </c>
      <c r="U43" t="s">
        <v>33</v>
      </c>
    </row>
    <row r="44" spans="1:21" x14ac:dyDescent="0.3">
      <c r="A44" t="s">
        <v>197</v>
      </c>
      <c r="B44">
        <v>49</v>
      </c>
      <c r="C44" t="s">
        <v>47</v>
      </c>
      <c r="D44" t="s">
        <v>48</v>
      </c>
      <c r="E44" t="s">
        <v>70</v>
      </c>
      <c r="F44" s="1">
        <v>44736</v>
      </c>
      <c r="G44" t="s">
        <v>198</v>
      </c>
      <c r="H44" t="s">
        <v>199</v>
      </c>
      <c r="I44" t="s">
        <v>82</v>
      </c>
      <c r="J44">
        <v>25966.33</v>
      </c>
      <c r="K44">
        <v>418</v>
      </c>
      <c r="L44" t="s">
        <v>60</v>
      </c>
      <c r="M44" s="1">
        <v>44760</v>
      </c>
      <c r="N44" t="s">
        <v>29</v>
      </c>
      <c r="O44" t="s">
        <v>30</v>
      </c>
      <c r="P44">
        <v>24</v>
      </c>
      <c r="Q44" t="s">
        <v>68</v>
      </c>
      <c r="R44" t="s">
        <v>32</v>
      </c>
      <c r="S44">
        <v>6</v>
      </c>
      <c r="T44">
        <v>2022</v>
      </c>
      <c r="U44" t="s">
        <v>118</v>
      </c>
    </row>
    <row r="45" spans="1:21" x14ac:dyDescent="0.3">
      <c r="A45" t="s">
        <v>200</v>
      </c>
      <c r="B45">
        <v>26</v>
      </c>
      <c r="C45" t="s">
        <v>47</v>
      </c>
      <c r="D45" t="s">
        <v>64</v>
      </c>
      <c r="E45" t="s">
        <v>36</v>
      </c>
      <c r="F45" s="1">
        <v>44356</v>
      </c>
      <c r="G45" t="s">
        <v>201</v>
      </c>
      <c r="H45" t="s">
        <v>202</v>
      </c>
      <c r="I45" t="s">
        <v>73</v>
      </c>
      <c r="J45">
        <v>21784.45</v>
      </c>
      <c r="K45">
        <v>410</v>
      </c>
      <c r="L45" t="s">
        <v>28</v>
      </c>
      <c r="M45" s="1">
        <v>44378</v>
      </c>
      <c r="N45" t="s">
        <v>29</v>
      </c>
      <c r="O45" t="s">
        <v>30</v>
      </c>
      <c r="P45">
        <v>22</v>
      </c>
      <c r="Q45" t="s">
        <v>31</v>
      </c>
      <c r="R45" t="s">
        <v>32</v>
      </c>
      <c r="S45">
        <v>6</v>
      </c>
      <c r="T45">
        <v>2021</v>
      </c>
      <c r="U45" t="s">
        <v>118</v>
      </c>
    </row>
    <row r="46" spans="1:21" x14ac:dyDescent="0.3">
      <c r="A46" t="s">
        <v>203</v>
      </c>
      <c r="B46">
        <v>81</v>
      </c>
      <c r="C46" t="s">
        <v>47</v>
      </c>
      <c r="D46" t="s">
        <v>76</v>
      </c>
      <c r="E46" t="s">
        <v>24</v>
      </c>
      <c r="F46" s="1">
        <v>44066</v>
      </c>
      <c r="G46" t="s">
        <v>204</v>
      </c>
      <c r="H46" t="s">
        <v>205</v>
      </c>
      <c r="I46" t="s">
        <v>39</v>
      </c>
      <c r="J46">
        <v>42684.56</v>
      </c>
      <c r="K46">
        <v>328</v>
      </c>
      <c r="L46" t="s">
        <v>28</v>
      </c>
      <c r="M46" s="1">
        <v>44082</v>
      </c>
      <c r="N46" t="s">
        <v>67</v>
      </c>
      <c r="O46" t="s">
        <v>61</v>
      </c>
      <c r="P46">
        <v>16</v>
      </c>
      <c r="Q46" t="s">
        <v>53</v>
      </c>
      <c r="R46" t="s">
        <v>44</v>
      </c>
      <c r="S46">
        <v>8</v>
      </c>
      <c r="T46">
        <v>2020</v>
      </c>
      <c r="U46" t="s">
        <v>45</v>
      </c>
    </row>
    <row r="47" spans="1:21" x14ac:dyDescent="0.3">
      <c r="A47" t="s">
        <v>206</v>
      </c>
      <c r="B47">
        <v>65</v>
      </c>
      <c r="C47" t="s">
        <v>22</v>
      </c>
      <c r="D47" t="s">
        <v>56</v>
      </c>
      <c r="E47" t="s">
        <v>24</v>
      </c>
      <c r="F47" s="1">
        <v>44846</v>
      </c>
      <c r="G47" t="s">
        <v>207</v>
      </c>
      <c r="H47" t="s">
        <v>208</v>
      </c>
      <c r="I47" t="s">
        <v>39</v>
      </c>
      <c r="J47">
        <v>45585.89</v>
      </c>
      <c r="K47">
        <v>300</v>
      </c>
      <c r="L47" t="s">
        <v>40</v>
      </c>
      <c r="M47" s="1">
        <v>44867</v>
      </c>
      <c r="N47" t="s">
        <v>67</v>
      </c>
      <c r="O47" t="s">
        <v>30</v>
      </c>
      <c r="P47">
        <v>21</v>
      </c>
      <c r="Q47" t="s">
        <v>43</v>
      </c>
      <c r="R47" t="s">
        <v>44</v>
      </c>
      <c r="S47">
        <v>10</v>
      </c>
      <c r="T47">
        <v>2022</v>
      </c>
      <c r="U47" t="s">
        <v>110</v>
      </c>
    </row>
    <row r="48" spans="1:21" x14ac:dyDescent="0.3">
      <c r="A48" t="s">
        <v>209</v>
      </c>
      <c r="B48">
        <v>31</v>
      </c>
      <c r="C48" t="s">
        <v>47</v>
      </c>
      <c r="D48" t="s">
        <v>56</v>
      </c>
      <c r="E48" t="s">
        <v>96</v>
      </c>
      <c r="F48" s="1">
        <v>44531</v>
      </c>
      <c r="G48" t="s">
        <v>210</v>
      </c>
      <c r="H48" t="s">
        <v>211</v>
      </c>
      <c r="I48" t="s">
        <v>82</v>
      </c>
      <c r="J48">
        <v>29615.439999999999</v>
      </c>
      <c r="K48">
        <v>211</v>
      </c>
      <c r="L48" t="s">
        <v>60</v>
      </c>
      <c r="M48" s="1">
        <v>44539</v>
      </c>
      <c r="N48" t="s">
        <v>29</v>
      </c>
      <c r="O48" t="s">
        <v>30</v>
      </c>
      <c r="P48">
        <v>8</v>
      </c>
      <c r="Q48" t="s">
        <v>31</v>
      </c>
      <c r="R48" t="s">
        <v>32</v>
      </c>
      <c r="S48">
        <v>12</v>
      </c>
      <c r="T48">
        <v>2021</v>
      </c>
      <c r="U48" t="s">
        <v>74</v>
      </c>
    </row>
    <row r="49" spans="1:21" x14ac:dyDescent="0.3">
      <c r="A49" t="s">
        <v>212</v>
      </c>
      <c r="B49">
        <v>58</v>
      </c>
      <c r="C49" t="s">
        <v>22</v>
      </c>
      <c r="D49" t="s">
        <v>48</v>
      </c>
      <c r="E49" t="s">
        <v>57</v>
      </c>
      <c r="F49" s="1">
        <v>43955</v>
      </c>
      <c r="G49" t="s">
        <v>213</v>
      </c>
      <c r="H49" t="s">
        <v>214</v>
      </c>
      <c r="I49" t="s">
        <v>82</v>
      </c>
      <c r="J49">
        <v>36992.269999999997</v>
      </c>
      <c r="K49">
        <v>413</v>
      </c>
      <c r="L49" t="s">
        <v>28</v>
      </c>
      <c r="M49" s="1">
        <v>43964</v>
      </c>
      <c r="N49" t="s">
        <v>52</v>
      </c>
      <c r="O49" t="s">
        <v>30</v>
      </c>
      <c r="P49">
        <v>9</v>
      </c>
      <c r="Q49" t="s">
        <v>43</v>
      </c>
      <c r="R49" t="s">
        <v>44</v>
      </c>
      <c r="S49">
        <v>5</v>
      </c>
      <c r="T49">
        <v>2020</v>
      </c>
      <c r="U49" t="s">
        <v>90</v>
      </c>
    </row>
    <row r="50" spans="1:21" x14ac:dyDescent="0.3">
      <c r="A50" t="s">
        <v>215</v>
      </c>
      <c r="B50">
        <v>22</v>
      </c>
      <c r="C50" t="s">
        <v>22</v>
      </c>
      <c r="D50" t="s">
        <v>56</v>
      </c>
      <c r="E50" t="s">
        <v>96</v>
      </c>
      <c r="F50" s="1">
        <v>45178</v>
      </c>
      <c r="G50" t="s">
        <v>216</v>
      </c>
      <c r="H50" t="s">
        <v>217</v>
      </c>
      <c r="I50" t="s">
        <v>73</v>
      </c>
      <c r="J50">
        <v>28051.5</v>
      </c>
      <c r="K50">
        <v>157</v>
      </c>
      <c r="L50" t="s">
        <v>28</v>
      </c>
      <c r="M50" s="1">
        <v>45192</v>
      </c>
      <c r="N50" t="s">
        <v>41</v>
      </c>
      <c r="O50" t="s">
        <v>61</v>
      </c>
      <c r="P50">
        <v>14</v>
      </c>
      <c r="Q50" t="s">
        <v>31</v>
      </c>
      <c r="R50" t="s">
        <v>32</v>
      </c>
      <c r="S50">
        <v>9</v>
      </c>
      <c r="T50">
        <v>2023</v>
      </c>
      <c r="U50" t="s">
        <v>54</v>
      </c>
    </row>
    <row r="51" spans="1:21" x14ac:dyDescent="0.3">
      <c r="A51" t="s">
        <v>218</v>
      </c>
      <c r="B51">
        <v>77</v>
      </c>
      <c r="C51" t="s">
        <v>47</v>
      </c>
      <c r="D51" t="s">
        <v>56</v>
      </c>
      <c r="E51" t="s">
        <v>70</v>
      </c>
      <c r="F51" s="1">
        <v>43665</v>
      </c>
      <c r="G51" t="s">
        <v>219</v>
      </c>
      <c r="H51" t="s">
        <v>220</v>
      </c>
      <c r="I51" t="s">
        <v>82</v>
      </c>
      <c r="J51">
        <v>16320.23</v>
      </c>
      <c r="K51">
        <v>138</v>
      </c>
      <c r="L51" t="s">
        <v>28</v>
      </c>
      <c r="M51" s="1">
        <v>43675</v>
      </c>
      <c r="N51" t="s">
        <v>41</v>
      </c>
      <c r="O51" t="s">
        <v>61</v>
      </c>
      <c r="P51">
        <v>10</v>
      </c>
      <c r="Q51" t="s">
        <v>53</v>
      </c>
      <c r="R51" t="s">
        <v>32</v>
      </c>
      <c r="S51">
        <v>7</v>
      </c>
      <c r="T51">
        <v>2019</v>
      </c>
      <c r="U51" t="s">
        <v>86</v>
      </c>
    </row>
    <row r="52" spans="1:21" x14ac:dyDescent="0.3">
      <c r="A52" t="s">
        <v>221</v>
      </c>
      <c r="B52">
        <v>30</v>
      </c>
      <c r="C52" t="s">
        <v>22</v>
      </c>
      <c r="D52" t="s">
        <v>76</v>
      </c>
      <c r="E52" t="s">
        <v>96</v>
      </c>
      <c r="F52" s="1">
        <v>45387</v>
      </c>
      <c r="G52" t="s">
        <v>222</v>
      </c>
      <c r="H52" t="s">
        <v>223</v>
      </c>
      <c r="I52" t="s">
        <v>39</v>
      </c>
      <c r="J52">
        <v>30590.54</v>
      </c>
      <c r="K52">
        <v>456</v>
      </c>
      <c r="L52" t="s">
        <v>40</v>
      </c>
      <c r="M52" s="1">
        <v>45404</v>
      </c>
      <c r="N52" t="s">
        <v>29</v>
      </c>
      <c r="O52" t="s">
        <v>42</v>
      </c>
      <c r="P52">
        <v>17</v>
      </c>
      <c r="Q52" t="s">
        <v>31</v>
      </c>
      <c r="R52" t="s">
        <v>44</v>
      </c>
      <c r="S52">
        <v>4</v>
      </c>
      <c r="T52">
        <v>2024</v>
      </c>
      <c r="U52" t="s">
        <v>94</v>
      </c>
    </row>
    <row r="53" spans="1:21" x14ac:dyDescent="0.3">
      <c r="A53" t="s">
        <v>224</v>
      </c>
      <c r="B53">
        <v>42</v>
      </c>
      <c r="C53" t="s">
        <v>47</v>
      </c>
      <c r="D53" t="s">
        <v>48</v>
      </c>
      <c r="E53" t="s">
        <v>24</v>
      </c>
      <c r="F53" s="1">
        <v>43631</v>
      </c>
      <c r="G53" t="s">
        <v>225</v>
      </c>
      <c r="H53" t="s">
        <v>226</v>
      </c>
      <c r="I53" t="s">
        <v>51</v>
      </c>
      <c r="J53">
        <v>14681.02</v>
      </c>
      <c r="K53">
        <v>234</v>
      </c>
      <c r="L53" t="s">
        <v>40</v>
      </c>
      <c r="M53" s="1">
        <v>43651</v>
      </c>
      <c r="N53" t="s">
        <v>41</v>
      </c>
      <c r="O53" t="s">
        <v>61</v>
      </c>
      <c r="P53">
        <v>20</v>
      </c>
      <c r="Q53" t="s">
        <v>68</v>
      </c>
      <c r="R53" t="s">
        <v>32</v>
      </c>
      <c r="S53">
        <v>6</v>
      </c>
      <c r="T53">
        <v>2019</v>
      </c>
      <c r="U53" t="s">
        <v>118</v>
      </c>
    </row>
    <row r="54" spans="1:21" x14ac:dyDescent="0.3">
      <c r="A54" t="s">
        <v>227</v>
      </c>
      <c r="B54">
        <v>67</v>
      </c>
      <c r="C54" t="s">
        <v>47</v>
      </c>
      <c r="D54" t="s">
        <v>64</v>
      </c>
      <c r="E54" t="s">
        <v>24</v>
      </c>
      <c r="F54" s="1">
        <v>44863</v>
      </c>
      <c r="G54" t="s">
        <v>228</v>
      </c>
      <c r="H54" t="s">
        <v>229</v>
      </c>
      <c r="I54" t="s">
        <v>51</v>
      </c>
      <c r="J54">
        <v>21879.53</v>
      </c>
      <c r="K54">
        <v>492</v>
      </c>
      <c r="L54" t="s">
        <v>28</v>
      </c>
      <c r="M54" s="1">
        <v>44885</v>
      </c>
      <c r="N54" t="s">
        <v>67</v>
      </c>
      <c r="O54" t="s">
        <v>42</v>
      </c>
      <c r="P54">
        <v>22</v>
      </c>
      <c r="Q54" t="s">
        <v>43</v>
      </c>
      <c r="R54" t="s">
        <v>32</v>
      </c>
      <c r="S54">
        <v>10</v>
      </c>
      <c r="T54">
        <v>2022</v>
      </c>
      <c r="U54" t="s">
        <v>110</v>
      </c>
    </row>
    <row r="55" spans="1:21" x14ac:dyDescent="0.3">
      <c r="A55" t="s">
        <v>230</v>
      </c>
      <c r="B55">
        <v>24</v>
      </c>
      <c r="C55" t="s">
        <v>47</v>
      </c>
      <c r="D55" t="s">
        <v>48</v>
      </c>
      <c r="E55" t="s">
        <v>36</v>
      </c>
      <c r="F55" s="1">
        <v>44659</v>
      </c>
      <c r="G55" t="s">
        <v>231</v>
      </c>
      <c r="H55" t="s">
        <v>232</v>
      </c>
      <c r="I55" t="s">
        <v>73</v>
      </c>
      <c r="J55">
        <v>6767.63</v>
      </c>
      <c r="K55">
        <v>180</v>
      </c>
      <c r="L55" t="s">
        <v>60</v>
      </c>
      <c r="M55" s="1">
        <v>44664</v>
      </c>
      <c r="N55" t="s">
        <v>99</v>
      </c>
      <c r="O55" t="s">
        <v>61</v>
      </c>
      <c r="P55">
        <v>5</v>
      </c>
      <c r="Q55" t="s">
        <v>31</v>
      </c>
      <c r="R55" t="s">
        <v>100</v>
      </c>
      <c r="S55">
        <v>4</v>
      </c>
      <c r="T55">
        <v>2022</v>
      </c>
      <c r="U55" t="s">
        <v>94</v>
      </c>
    </row>
    <row r="56" spans="1:21" x14ac:dyDescent="0.3">
      <c r="A56" t="s">
        <v>233</v>
      </c>
      <c r="B56">
        <v>84</v>
      </c>
      <c r="C56" t="s">
        <v>47</v>
      </c>
      <c r="D56" t="s">
        <v>23</v>
      </c>
      <c r="E56" t="s">
        <v>70</v>
      </c>
      <c r="F56" s="1">
        <v>45155</v>
      </c>
      <c r="G56" t="s">
        <v>234</v>
      </c>
      <c r="H56" t="s">
        <v>235</v>
      </c>
      <c r="I56" t="s">
        <v>82</v>
      </c>
      <c r="J56">
        <v>19973.46</v>
      </c>
      <c r="K56">
        <v>250</v>
      </c>
      <c r="L56" t="s">
        <v>60</v>
      </c>
      <c r="M56" s="1">
        <v>45180</v>
      </c>
      <c r="N56" t="s">
        <v>41</v>
      </c>
      <c r="O56" t="s">
        <v>42</v>
      </c>
      <c r="P56">
        <v>25</v>
      </c>
      <c r="Q56" t="s">
        <v>53</v>
      </c>
      <c r="R56" t="s">
        <v>32</v>
      </c>
      <c r="S56">
        <v>8</v>
      </c>
      <c r="T56">
        <v>2023</v>
      </c>
      <c r="U56" t="s">
        <v>45</v>
      </c>
    </row>
    <row r="57" spans="1:21" x14ac:dyDescent="0.3">
      <c r="A57" t="s">
        <v>236</v>
      </c>
      <c r="B57">
        <v>73</v>
      </c>
      <c r="C57" t="s">
        <v>47</v>
      </c>
      <c r="D57" t="s">
        <v>48</v>
      </c>
      <c r="E57" t="s">
        <v>96</v>
      </c>
      <c r="F57" s="1">
        <v>45235</v>
      </c>
      <c r="G57" t="s">
        <v>237</v>
      </c>
      <c r="H57" t="s">
        <v>238</v>
      </c>
      <c r="I57" t="s">
        <v>73</v>
      </c>
      <c r="J57">
        <v>14362.31</v>
      </c>
      <c r="K57">
        <v>296</v>
      </c>
      <c r="L57" t="s">
        <v>40</v>
      </c>
      <c r="M57" s="1">
        <v>45237</v>
      </c>
      <c r="N57" t="s">
        <v>29</v>
      </c>
      <c r="O57" t="s">
        <v>42</v>
      </c>
      <c r="P57">
        <v>2</v>
      </c>
      <c r="Q57" t="s">
        <v>53</v>
      </c>
      <c r="R57" t="s">
        <v>32</v>
      </c>
      <c r="S57">
        <v>11</v>
      </c>
      <c r="T57">
        <v>2023</v>
      </c>
      <c r="U57" t="s">
        <v>62</v>
      </c>
    </row>
    <row r="58" spans="1:21" x14ac:dyDescent="0.3">
      <c r="A58" t="s">
        <v>239</v>
      </c>
      <c r="B58">
        <v>55</v>
      </c>
      <c r="C58" t="s">
        <v>47</v>
      </c>
      <c r="D58" t="s">
        <v>35</v>
      </c>
      <c r="E58" t="s">
        <v>24</v>
      </c>
      <c r="F58" s="1">
        <v>45025</v>
      </c>
      <c r="G58" t="s">
        <v>240</v>
      </c>
      <c r="H58" t="s">
        <v>241</v>
      </c>
      <c r="I58" t="s">
        <v>82</v>
      </c>
      <c r="J58">
        <v>10300.66</v>
      </c>
      <c r="K58">
        <v>330</v>
      </c>
      <c r="L58" t="s">
        <v>40</v>
      </c>
      <c r="M58" s="1">
        <v>45037</v>
      </c>
      <c r="N58" t="s">
        <v>29</v>
      </c>
      <c r="O58" t="s">
        <v>30</v>
      </c>
      <c r="P58">
        <v>12</v>
      </c>
      <c r="Q58" t="s">
        <v>68</v>
      </c>
      <c r="R58" t="s">
        <v>32</v>
      </c>
      <c r="S58">
        <v>4</v>
      </c>
      <c r="T58">
        <v>2023</v>
      </c>
      <c r="U58" t="s">
        <v>94</v>
      </c>
    </row>
    <row r="59" spans="1:21" x14ac:dyDescent="0.3">
      <c r="A59" t="s">
        <v>242</v>
      </c>
      <c r="B59">
        <v>23</v>
      </c>
      <c r="C59" t="s">
        <v>22</v>
      </c>
      <c r="D59" t="s">
        <v>149</v>
      </c>
      <c r="E59" t="s">
        <v>96</v>
      </c>
      <c r="F59" s="1">
        <v>44825</v>
      </c>
      <c r="G59" t="s">
        <v>243</v>
      </c>
      <c r="H59" t="s">
        <v>244</v>
      </c>
      <c r="I59" t="s">
        <v>51</v>
      </c>
      <c r="J59">
        <v>37951.660000000003</v>
      </c>
      <c r="K59">
        <v>405</v>
      </c>
      <c r="L59" t="s">
        <v>40</v>
      </c>
      <c r="M59" s="1">
        <v>44829</v>
      </c>
      <c r="N59" t="s">
        <v>41</v>
      </c>
      <c r="O59" t="s">
        <v>42</v>
      </c>
      <c r="P59">
        <v>4</v>
      </c>
      <c r="Q59" t="s">
        <v>31</v>
      </c>
      <c r="R59" t="s">
        <v>44</v>
      </c>
      <c r="S59">
        <v>9</v>
      </c>
      <c r="T59">
        <v>2022</v>
      </c>
      <c r="U59" t="s">
        <v>54</v>
      </c>
    </row>
    <row r="60" spans="1:21" x14ac:dyDescent="0.3">
      <c r="A60" t="s">
        <v>245</v>
      </c>
      <c r="B60">
        <v>40</v>
      </c>
      <c r="C60" t="s">
        <v>47</v>
      </c>
      <c r="D60" t="s">
        <v>76</v>
      </c>
      <c r="E60" t="s">
        <v>24</v>
      </c>
      <c r="F60" s="1">
        <v>44217</v>
      </c>
      <c r="G60" t="s">
        <v>246</v>
      </c>
      <c r="H60" t="s">
        <v>247</v>
      </c>
      <c r="I60" t="s">
        <v>51</v>
      </c>
      <c r="J60">
        <v>6733.99</v>
      </c>
      <c r="K60">
        <v>300</v>
      </c>
      <c r="L60" t="s">
        <v>28</v>
      </c>
      <c r="M60" s="1">
        <v>44233</v>
      </c>
      <c r="N60" t="s">
        <v>41</v>
      </c>
      <c r="O60" t="s">
        <v>30</v>
      </c>
      <c r="P60">
        <v>16</v>
      </c>
      <c r="Q60" t="s">
        <v>68</v>
      </c>
      <c r="R60" t="s">
        <v>100</v>
      </c>
      <c r="S60">
        <v>1</v>
      </c>
      <c r="T60">
        <v>2021</v>
      </c>
      <c r="U60" t="s">
        <v>33</v>
      </c>
    </row>
    <row r="61" spans="1:21" x14ac:dyDescent="0.3">
      <c r="A61" t="s">
        <v>248</v>
      </c>
      <c r="B61">
        <v>51</v>
      </c>
      <c r="C61" t="s">
        <v>22</v>
      </c>
      <c r="D61" t="s">
        <v>56</v>
      </c>
      <c r="E61" t="s">
        <v>96</v>
      </c>
      <c r="F61" s="1">
        <v>44022</v>
      </c>
      <c r="G61" t="s">
        <v>249</v>
      </c>
      <c r="H61" t="s">
        <v>250</v>
      </c>
      <c r="I61" t="s">
        <v>51</v>
      </c>
      <c r="J61">
        <v>17839.75</v>
      </c>
      <c r="K61">
        <v>306</v>
      </c>
      <c r="L61" t="s">
        <v>60</v>
      </c>
      <c r="M61" s="1">
        <v>44032</v>
      </c>
      <c r="N61" t="s">
        <v>29</v>
      </c>
      <c r="O61" t="s">
        <v>61</v>
      </c>
      <c r="P61">
        <v>10</v>
      </c>
      <c r="Q61" t="s">
        <v>68</v>
      </c>
      <c r="R61" t="s">
        <v>32</v>
      </c>
      <c r="S61">
        <v>7</v>
      </c>
      <c r="T61">
        <v>2020</v>
      </c>
      <c r="U61" t="s">
        <v>86</v>
      </c>
    </row>
    <row r="62" spans="1:21" x14ac:dyDescent="0.3">
      <c r="A62" t="s">
        <v>251</v>
      </c>
      <c r="B62">
        <v>83</v>
      </c>
      <c r="C62" t="s">
        <v>22</v>
      </c>
      <c r="D62" t="s">
        <v>64</v>
      </c>
      <c r="E62" t="s">
        <v>36</v>
      </c>
      <c r="F62" s="1">
        <v>43775</v>
      </c>
      <c r="G62" t="s">
        <v>252</v>
      </c>
      <c r="H62" t="s">
        <v>253</v>
      </c>
      <c r="I62" t="s">
        <v>51</v>
      </c>
      <c r="J62">
        <v>24637.09</v>
      </c>
      <c r="K62">
        <v>333</v>
      </c>
      <c r="L62" t="s">
        <v>60</v>
      </c>
      <c r="M62" s="1">
        <v>43791</v>
      </c>
      <c r="N62" t="s">
        <v>29</v>
      </c>
      <c r="O62" t="s">
        <v>42</v>
      </c>
      <c r="P62">
        <v>16</v>
      </c>
      <c r="Q62" t="s">
        <v>53</v>
      </c>
      <c r="R62" t="s">
        <v>32</v>
      </c>
      <c r="S62">
        <v>11</v>
      </c>
      <c r="T62">
        <v>2019</v>
      </c>
      <c r="U62" t="s">
        <v>62</v>
      </c>
    </row>
    <row r="63" spans="1:21" x14ac:dyDescent="0.3">
      <c r="A63" t="s">
        <v>254</v>
      </c>
      <c r="B63">
        <v>63</v>
      </c>
      <c r="C63" t="s">
        <v>22</v>
      </c>
      <c r="D63" t="s">
        <v>48</v>
      </c>
      <c r="E63" t="s">
        <v>70</v>
      </c>
      <c r="F63" s="1">
        <v>45389</v>
      </c>
      <c r="G63" t="s">
        <v>255</v>
      </c>
      <c r="H63" t="s">
        <v>256</v>
      </c>
      <c r="I63" t="s">
        <v>73</v>
      </c>
      <c r="J63">
        <v>39723.17</v>
      </c>
      <c r="K63">
        <v>244</v>
      </c>
      <c r="L63" t="s">
        <v>40</v>
      </c>
      <c r="M63" s="1">
        <v>45416</v>
      </c>
      <c r="N63" t="s">
        <v>41</v>
      </c>
      <c r="O63" t="s">
        <v>42</v>
      </c>
      <c r="P63">
        <v>27</v>
      </c>
      <c r="Q63" t="s">
        <v>43</v>
      </c>
      <c r="R63" t="s">
        <v>44</v>
      </c>
      <c r="S63">
        <v>4</v>
      </c>
      <c r="T63">
        <v>2024</v>
      </c>
      <c r="U63" t="s">
        <v>94</v>
      </c>
    </row>
    <row r="64" spans="1:21" x14ac:dyDescent="0.3">
      <c r="A64" t="s">
        <v>257</v>
      </c>
      <c r="B64">
        <v>18</v>
      </c>
      <c r="C64" t="s">
        <v>22</v>
      </c>
      <c r="D64" t="s">
        <v>35</v>
      </c>
      <c r="E64" t="s">
        <v>24</v>
      </c>
      <c r="F64" s="1">
        <v>44748</v>
      </c>
      <c r="G64" t="s">
        <v>258</v>
      </c>
      <c r="H64" t="s">
        <v>259</v>
      </c>
      <c r="I64" t="s">
        <v>73</v>
      </c>
      <c r="J64">
        <v>48407.39</v>
      </c>
      <c r="K64">
        <v>325</v>
      </c>
      <c r="L64" t="s">
        <v>40</v>
      </c>
      <c r="M64" s="1">
        <v>44760</v>
      </c>
      <c r="N64" t="s">
        <v>52</v>
      </c>
      <c r="O64" t="s">
        <v>30</v>
      </c>
      <c r="P64">
        <v>12</v>
      </c>
      <c r="Q64" t="s">
        <v>31</v>
      </c>
      <c r="R64" t="s">
        <v>44</v>
      </c>
      <c r="S64">
        <v>7</v>
      </c>
      <c r="T64">
        <v>2022</v>
      </c>
      <c r="U64" t="s">
        <v>86</v>
      </c>
    </row>
    <row r="65" spans="1:21" x14ac:dyDescent="0.3">
      <c r="A65" t="s">
        <v>260</v>
      </c>
      <c r="B65">
        <v>23</v>
      </c>
      <c r="C65" t="s">
        <v>47</v>
      </c>
      <c r="D65" t="s">
        <v>23</v>
      </c>
      <c r="E65" t="s">
        <v>96</v>
      </c>
      <c r="F65" s="1">
        <v>44776</v>
      </c>
      <c r="G65" t="s">
        <v>261</v>
      </c>
      <c r="H65" t="s">
        <v>262</v>
      </c>
      <c r="I65" t="s">
        <v>82</v>
      </c>
      <c r="J65">
        <v>5517.39</v>
      </c>
      <c r="K65">
        <v>113</v>
      </c>
      <c r="L65" t="s">
        <v>60</v>
      </c>
      <c r="M65" s="1">
        <v>44783</v>
      </c>
      <c r="N65" t="s">
        <v>52</v>
      </c>
      <c r="O65" t="s">
        <v>42</v>
      </c>
      <c r="P65">
        <v>7</v>
      </c>
      <c r="Q65" t="s">
        <v>31</v>
      </c>
      <c r="R65" t="s">
        <v>100</v>
      </c>
      <c r="S65">
        <v>8</v>
      </c>
      <c r="T65">
        <v>2022</v>
      </c>
      <c r="U65" t="s">
        <v>45</v>
      </c>
    </row>
    <row r="66" spans="1:21" x14ac:dyDescent="0.3">
      <c r="A66" t="s">
        <v>263</v>
      </c>
      <c r="B66">
        <v>58</v>
      </c>
      <c r="C66" t="s">
        <v>22</v>
      </c>
      <c r="D66" t="s">
        <v>48</v>
      </c>
      <c r="E66" t="s">
        <v>96</v>
      </c>
      <c r="F66" s="1">
        <v>43959</v>
      </c>
      <c r="G66" t="s">
        <v>264</v>
      </c>
      <c r="H66" t="s">
        <v>265</v>
      </c>
      <c r="I66" t="s">
        <v>39</v>
      </c>
      <c r="J66">
        <v>19183.169999999998</v>
      </c>
      <c r="K66">
        <v>378</v>
      </c>
      <c r="L66" t="s">
        <v>40</v>
      </c>
      <c r="M66" s="1">
        <v>43983</v>
      </c>
      <c r="N66" t="s">
        <v>52</v>
      </c>
      <c r="O66" t="s">
        <v>61</v>
      </c>
      <c r="P66">
        <v>24</v>
      </c>
      <c r="Q66" t="s">
        <v>43</v>
      </c>
      <c r="R66" t="s">
        <v>32</v>
      </c>
      <c r="S66">
        <v>5</v>
      </c>
      <c r="T66">
        <v>2020</v>
      </c>
      <c r="U66" t="s">
        <v>90</v>
      </c>
    </row>
    <row r="67" spans="1:21" x14ac:dyDescent="0.3">
      <c r="A67" t="s">
        <v>266</v>
      </c>
      <c r="B67">
        <v>27</v>
      </c>
      <c r="C67" t="s">
        <v>22</v>
      </c>
      <c r="D67" t="s">
        <v>76</v>
      </c>
      <c r="E67" t="s">
        <v>24</v>
      </c>
      <c r="F67" s="1">
        <v>43808</v>
      </c>
      <c r="G67" t="s">
        <v>267</v>
      </c>
      <c r="H67" t="s">
        <v>268</v>
      </c>
      <c r="I67" t="s">
        <v>39</v>
      </c>
      <c r="J67">
        <v>8320.66</v>
      </c>
      <c r="K67">
        <v>468</v>
      </c>
      <c r="L67" t="s">
        <v>28</v>
      </c>
      <c r="M67" s="1">
        <v>43820</v>
      </c>
      <c r="N67" t="s">
        <v>99</v>
      </c>
      <c r="O67" t="s">
        <v>61</v>
      </c>
      <c r="P67">
        <v>12</v>
      </c>
      <c r="Q67" t="s">
        <v>31</v>
      </c>
      <c r="R67" t="s">
        <v>100</v>
      </c>
      <c r="S67">
        <v>12</v>
      </c>
      <c r="T67">
        <v>2019</v>
      </c>
      <c r="U67" t="s">
        <v>74</v>
      </c>
    </row>
    <row r="68" spans="1:21" x14ac:dyDescent="0.3">
      <c r="A68" t="s">
        <v>269</v>
      </c>
      <c r="B68">
        <v>59</v>
      </c>
      <c r="C68" t="s">
        <v>22</v>
      </c>
      <c r="D68" t="s">
        <v>127</v>
      </c>
      <c r="E68" t="s">
        <v>57</v>
      </c>
      <c r="F68" s="1">
        <v>43790</v>
      </c>
      <c r="G68" t="s">
        <v>270</v>
      </c>
      <c r="H68" t="s">
        <v>271</v>
      </c>
      <c r="I68" t="s">
        <v>39</v>
      </c>
      <c r="J68">
        <v>10107.19</v>
      </c>
      <c r="K68">
        <v>368</v>
      </c>
      <c r="L68" t="s">
        <v>40</v>
      </c>
      <c r="M68" s="1">
        <v>43807</v>
      </c>
      <c r="N68" t="s">
        <v>67</v>
      </c>
      <c r="O68" t="s">
        <v>61</v>
      </c>
      <c r="P68">
        <v>17</v>
      </c>
      <c r="Q68" t="s">
        <v>43</v>
      </c>
      <c r="R68" t="s">
        <v>32</v>
      </c>
      <c r="S68">
        <v>11</v>
      </c>
      <c r="T68">
        <v>2019</v>
      </c>
      <c r="U68" t="s">
        <v>62</v>
      </c>
    </row>
    <row r="69" spans="1:21" x14ac:dyDescent="0.3">
      <c r="A69" t="s">
        <v>272</v>
      </c>
      <c r="B69">
        <v>27</v>
      </c>
      <c r="C69" t="s">
        <v>22</v>
      </c>
      <c r="D69" t="s">
        <v>23</v>
      </c>
      <c r="E69" t="s">
        <v>96</v>
      </c>
      <c r="F69" s="1">
        <v>44933</v>
      </c>
      <c r="G69" t="s">
        <v>273</v>
      </c>
      <c r="H69" t="s">
        <v>274</v>
      </c>
      <c r="I69" t="s">
        <v>82</v>
      </c>
      <c r="J69">
        <v>49402.3</v>
      </c>
      <c r="K69">
        <v>263</v>
      </c>
      <c r="L69" t="s">
        <v>60</v>
      </c>
      <c r="M69" s="1">
        <v>44953</v>
      </c>
      <c r="N69" t="s">
        <v>99</v>
      </c>
      <c r="O69" t="s">
        <v>42</v>
      </c>
      <c r="P69">
        <v>20</v>
      </c>
      <c r="Q69" t="s">
        <v>31</v>
      </c>
      <c r="R69" t="s">
        <v>44</v>
      </c>
      <c r="S69">
        <v>1</v>
      </c>
      <c r="T69">
        <v>2023</v>
      </c>
      <c r="U69" t="s">
        <v>33</v>
      </c>
    </row>
    <row r="70" spans="1:21" x14ac:dyDescent="0.3">
      <c r="A70" t="s">
        <v>275</v>
      </c>
      <c r="B70">
        <v>31</v>
      </c>
      <c r="C70" t="s">
        <v>22</v>
      </c>
      <c r="D70" t="s">
        <v>127</v>
      </c>
      <c r="E70" t="s">
        <v>57</v>
      </c>
      <c r="F70" s="1">
        <v>45328</v>
      </c>
      <c r="G70" t="s">
        <v>276</v>
      </c>
      <c r="H70" t="s">
        <v>277</v>
      </c>
      <c r="I70" t="s">
        <v>73</v>
      </c>
      <c r="J70">
        <v>35776.82</v>
      </c>
      <c r="K70">
        <v>489</v>
      </c>
      <c r="L70" t="s">
        <v>40</v>
      </c>
      <c r="M70" s="1">
        <v>45332</v>
      </c>
      <c r="N70" t="s">
        <v>67</v>
      </c>
      <c r="O70" t="s">
        <v>30</v>
      </c>
      <c r="P70">
        <v>4</v>
      </c>
      <c r="Q70" t="s">
        <v>31</v>
      </c>
      <c r="R70" t="s">
        <v>44</v>
      </c>
      <c r="S70">
        <v>2</v>
      </c>
      <c r="T70">
        <v>2024</v>
      </c>
      <c r="U70" t="s">
        <v>278</v>
      </c>
    </row>
    <row r="71" spans="1:21" x14ac:dyDescent="0.3">
      <c r="A71" t="s">
        <v>279</v>
      </c>
      <c r="B71">
        <v>19</v>
      </c>
      <c r="C71" t="s">
        <v>47</v>
      </c>
      <c r="D71" t="s">
        <v>35</v>
      </c>
      <c r="E71" t="s">
        <v>115</v>
      </c>
      <c r="F71" s="1">
        <v>43860</v>
      </c>
      <c r="G71" t="s">
        <v>280</v>
      </c>
      <c r="H71" t="s">
        <v>281</v>
      </c>
      <c r="I71" t="s">
        <v>39</v>
      </c>
      <c r="J71">
        <v>20227.86</v>
      </c>
      <c r="K71">
        <v>241</v>
      </c>
      <c r="L71" t="s">
        <v>60</v>
      </c>
      <c r="M71" s="1">
        <v>43873</v>
      </c>
      <c r="N71" t="s">
        <v>67</v>
      </c>
      <c r="O71" t="s">
        <v>30</v>
      </c>
      <c r="P71">
        <v>13</v>
      </c>
      <c r="Q71" t="s">
        <v>31</v>
      </c>
      <c r="R71" t="s">
        <v>32</v>
      </c>
      <c r="S71">
        <v>1</v>
      </c>
      <c r="T71">
        <v>2020</v>
      </c>
      <c r="U71" t="s">
        <v>33</v>
      </c>
    </row>
    <row r="72" spans="1:21" x14ac:dyDescent="0.3">
      <c r="A72" t="s">
        <v>282</v>
      </c>
      <c r="B72">
        <v>29</v>
      </c>
      <c r="C72" t="s">
        <v>47</v>
      </c>
      <c r="D72" t="s">
        <v>56</v>
      </c>
      <c r="E72" t="s">
        <v>24</v>
      </c>
      <c r="F72" s="1">
        <v>44858</v>
      </c>
      <c r="G72" t="s">
        <v>283</v>
      </c>
      <c r="H72" t="s">
        <v>284</v>
      </c>
      <c r="I72" t="s">
        <v>27</v>
      </c>
      <c r="J72">
        <v>19328.12</v>
      </c>
      <c r="K72">
        <v>231</v>
      </c>
      <c r="L72" t="s">
        <v>28</v>
      </c>
      <c r="M72" s="1">
        <v>44872</v>
      </c>
      <c r="N72" t="s">
        <v>41</v>
      </c>
      <c r="O72" t="s">
        <v>30</v>
      </c>
      <c r="P72">
        <v>14</v>
      </c>
      <c r="Q72" t="s">
        <v>31</v>
      </c>
      <c r="R72" t="s">
        <v>32</v>
      </c>
      <c r="S72">
        <v>10</v>
      </c>
      <c r="T72">
        <v>2022</v>
      </c>
      <c r="U72" t="s">
        <v>110</v>
      </c>
    </row>
    <row r="73" spans="1:21" x14ac:dyDescent="0.3">
      <c r="A73" t="s">
        <v>285</v>
      </c>
      <c r="B73">
        <v>18</v>
      </c>
      <c r="C73" t="s">
        <v>22</v>
      </c>
      <c r="D73" t="s">
        <v>48</v>
      </c>
      <c r="E73" t="s">
        <v>36</v>
      </c>
      <c r="F73" s="1">
        <v>44570</v>
      </c>
      <c r="G73" t="s">
        <v>286</v>
      </c>
      <c r="H73" t="s">
        <v>287</v>
      </c>
      <c r="I73" t="s">
        <v>51</v>
      </c>
      <c r="J73">
        <v>46956.55</v>
      </c>
      <c r="K73">
        <v>377</v>
      </c>
      <c r="L73" t="s">
        <v>40</v>
      </c>
      <c r="M73" s="1">
        <v>44576</v>
      </c>
      <c r="N73" t="s">
        <v>52</v>
      </c>
      <c r="O73" t="s">
        <v>42</v>
      </c>
      <c r="P73">
        <v>6</v>
      </c>
      <c r="Q73" t="s">
        <v>31</v>
      </c>
      <c r="R73" t="s">
        <v>44</v>
      </c>
      <c r="S73">
        <v>1</v>
      </c>
      <c r="T73">
        <v>2022</v>
      </c>
      <c r="U73" t="s">
        <v>33</v>
      </c>
    </row>
    <row r="74" spans="1:21" x14ac:dyDescent="0.3">
      <c r="A74" t="s">
        <v>288</v>
      </c>
      <c r="B74">
        <v>24</v>
      </c>
      <c r="C74" t="s">
        <v>22</v>
      </c>
      <c r="D74" t="s">
        <v>76</v>
      </c>
      <c r="E74" t="s">
        <v>24</v>
      </c>
      <c r="F74" s="1">
        <v>45288</v>
      </c>
      <c r="G74" t="s">
        <v>289</v>
      </c>
      <c r="H74" t="s">
        <v>290</v>
      </c>
      <c r="I74" t="s">
        <v>82</v>
      </c>
      <c r="J74">
        <v>10709.69</v>
      </c>
      <c r="K74">
        <v>407</v>
      </c>
      <c r="L74" t="s">
        <v>40</v>
      </c>
      <c r="M74" s="1">
        <v>45293</v>
      </c>
      <c r="N74" t="s">
        <v>29</v>
      </c>
      <c r="O74" t="s">
        <v>61</v>
      </c>
      <c r="P74">
        <v>5</v>
      </c>
      <c r="Q74" t="s">
        <v>31</v>
      </c>
      <c r="R74" t="s">
        <v>32</v>
      </c>
      <c r="S74">
        <v>12</v>
      </c>
      <c r="T74">
        <v>2023</v>
      </c>
      <c r="U74" t="s">
        <v>74</v>
      </c>
    </row>
    <row r="75" spans="1:21" x14ac:dyDescent="0.3">
      <c r="A75" t="s">
        <v>291</v>
      </c>
      <c r="B75">
        <v>27</v>
      </c>
      <c r="C75" t="s">
        <v>22</v>
      </c>
      <c r="D75" t="s">
        <v>76</v>
      </c>
      <c r="E75" t="s">
        <v>57</v>
      </c>
      <c r="F75" s="1">
        <v>44455</v>
      </c>
      <c r="G75" t="s">
        <v>292</v>
      </c>
      <c r="H75" t="s">
        <v>293</v>
      </c>
      <c r="I75" t="s">
        <v>51</v>
      </c>
      <c r="J75">
        <v>45353.99</v>
      </c>
      <c r="K75">
        <v>263</v>
      </c>
      <c r="L75" t="s">
        <v>28</v>
      </c>
      <c r="M75" s="1">
        <v>44483</v>
      </c>
      <c r="N75" t="s">
        <v>67</v>
      </c>
      <c r="O75" t="s">
        <v>61</v>
      </c>
      <c r="P75">
        <v>28</v>
      </c>
      <c r="Q75" t="s">
        <v>31</v>
      </c>
      <c r="R75" t="s">
        <v>44</v>
      </c>
      <c r="S75">
        <v>9</v>
      </c>
      <c r="T75">
        <v>2021</v>
      </c>
      <c r="U75" t="s">
        <v>54</v>
      </c>
    </row>
    <row r="76" spans="1:21" x14ac:dyDescent="0.3">
      <c r="A76" t="s">
        <v>294</v>
      </c>
      <c r="B76">
        <v>57</v>
      </c>
      <c r="C76" t="s">
        <v>47</v>
      </c>
      <c r="D76" t="s">
        <v>76</v>
      </c>
      <c r="E76" t="s">
        <v>115</v>
      </c>
      <c r="F76" s="1">
        <v>45131</v>
      </c>
      <c r="G76" t="s">
        <v>295</v>
      </c>
      <c r="H76" t="s">
        <v>296</v>
      </c>
      <c r="I76" t="s">
        <v>51</v>
      </c>
      <c r="J76">
        <v>8451</v>
      </c>
      <c r="K76">
        <v>135</v>
      </c>
      <c r="L76" t="s">
        <v>60</v>
      </c>
      <c r="M76" s="1">
        <v>45149</v>
      </c>
      <c r="N76" t="s">
        <v>29</v>
      </c>
      <c r="O76" t="s">
        <v>61</v>
      </c>
      <c r="P76">
        <v>18</v>
      </c>
      <c r="Q76" t="s">
        <v>43</v>
      </c>
      <c r="R76" t="s">
        <v>100</v>
      </c>
      <c r="S76">
        <v>7</v>
      </c>
      <c r="T76">
        <v>2023</v>
      </c>
      <c r="U76" t="s">
        <v>86</v>
      </c>
    </row>
    <row r="77" spans="1:21" x14ac:dyDescent="0.3">
      <c r="A77" t="s">
        <v>297</v>
      </c>
      <c r="B77">
        <v>74</v>
      </c>
      <c r="C77" t="s">
        <v>47</v>
      </c>
      <c r="D77" t="s">
        <v>35</v>
      </c>
      <c r="E77" t="s">
        <v>115</v>
      </c>
      <c r="F77" s="1">
        <v>44513</v>
      </c>
      <c r="G77" t="s">
        <v>298</v>
      </c>
      <c r="H77" t="s">
        <v>299</v>
      </c>
      <c r="I77" t="s">
        <v>73</v>
      </c>
      <c r="J77">
        <v>29850.880000000001</v>
      </c>
      <c r="K77">
        <v>131</v>
      </c>
      <c r="L77" t="s">
        <v>40</v>
      </c>
      <c r="M77" s="1">
        <v>44537</v>
      </c>
      <c r="N77" t="s">
        <v>29</v>
      </c>
      <c r="O77" t="s">
        <v>42</v>
      </c>
      <c r="P77">
        <v>24</v>
      </c>
      <c r="Q77" t="s">
        <v>53</v>
      </c>
      <c r="R77" t="s">
        <v>32</v>
      </c>
      <c r="S77">
        <v>11</v>
      </c>
      <c r="T77">
        <v>2021</v>
      </c>
      <c r="U77" t="s">
        <v>62</v>
      </c>
    </row>
    <row r="78" spans="1:21" x14ac:dyDescent="0.3">
      <c r="A78" t="s">
        <v>300</v>
      </c>
      <c r="B78">
        <v>22</v>
      </c>
      <c r="C78" t="s">
        <v>47</v>
      </c>
      <c r="D78" t="s">
        <v>48</v>
      </c>
      <c r="E78" t="s">
        <v>115</v>
      </c>
      <c r="F78" s="1">
        <v>45210</v>
      </c>
      <c r="G78" t="s">
        <v>301</v>
      </c>
      <c r="H78" t="s">
        <v>302</v>
      </c>
      <c r="I78" t="s">
        <v>27</v>
      </c>
      <c r="J78">
        <v>42696.52</v>
      </c>
      <c r="K78">
        <v>102</v>
      </c>
      <c r="L78" t="s">
        <v>28</v>
      </c>
      <c r="M78" s="1">
        <v>45226</v>
      </c>
      <c r="N78" t="s">
        <v>67</v>
      </c>
      <c r="O78" t="s">
        <v>30</v>
      </c>
      <c r="P78">
        <v>16</v>
      </c>
      <c r="Q78" t="s">
        <v>31</v>
      </c>
      <c r="R78" t="s">
        <v>44</v>
      </c>
      <c r="S78">
        <v>10</v>
      </c>
      <c r="T78">
        <v>2023</v>
      </c>
      <c r="U78" t="s">
        <v>110</v>
      </c>
    </row>
    <row r="79" spans="1:21" x14ac:dyDescent="0.3">
      <c r="A79" t="s">
        <v>303</v>
      </c>
      <c r="B79">
        <v>33</v>
      </c>
      <c r="C79" t="s">
        <v>47</v>
      </c>
      <c r="D79" t="s">
        <v>23</v>
      </c>
      <c r="E79" t="s">
        <v>57</v>
      </c>
      <c r="F79" s="1">
        <v>44226</v>
      </c>
      <c r="G79" t="s">
        <v>304</v>
      </c>
      <c r="H79" t="s">
        <v>305</v>
      </c>
      <c r="I79" t="s">
        <v>82</v>
      </c>
      <c r="J79">
        <v>2305.14</v>
      </c>
      <c r="K79">
        <v>249</v>
      </c>
      <c r="L79" t="s">
        <v>40</v>
      </c>
      <c r="M79" s="1">
        <v>44231</v>
      </c>
      <c r="N79" t="s">
        <v>67</v>
      </c>
      <c r="O79" t="s">
        <v>42</v>
      </c>
      <c r="P79">
        <v>5</v>
      </c>
      <c r="Q79" t="s">
        <v>31</v>
      </c>
      <c r="R79" t="s">
        <v>100</v>
      </c>
      <c r="S79">
        <v>1</v>
      </c>
      <c r="T79">
        <v>2021</v>
      </c>
      <c r="U79" t="s">
        <v>33</v>
      </c>
    </row>
    <row r="80" spans="1:21" x14ac:dyDescent="0.3">
      <c r="A80" t="s">
        <v>306</v>
      </c>
      <c r="B80">
        <v>57</v>
      </c>
      <c r="C80" t="s">
        <v>22</v>
      </c>
      <c r="D80" t="s">
        <v>127</v>
      </c>
      <c r="E80" t="s">
        <v>115</v>
      </c>
      <c r="F80" s="1">
        <v>44521</v>
      </c>
      <c r="G80" t="s">
        <v>307</v>
      </c>
      <c r="H80" t="s">
        <v>308</v>
      </c>
      <c r="I80" t="s">
        <v>73</v>
      </c>
      <c r="J80">
        <v>44437.47</v>
      </c>
      <c r="K80">
        <v>255</v>
      </c>
      <c r="L80" t="s">
        <v>40</v>
      </c>
      <c r="M80" s="1">
        <v>44535</v>
      </c>
      <c r="N80" t="s">
        <v>67</v>
      </c>
      <c r="O80" t="s">
        <v>42</v>
      </c>
      <c r="P80">
        <v>14</v>
      </c>
      <c r="Q80" t="s">
        <v>43</v>
      </c>
      <c r="R80" t="s">
        <v>44</v>
      </c>
      <c r="S80">
        <v>11</v>
      </c>
      <c r="T80">
        <v>2021</v>
      </c>
      <c r="U80" t="s">
        <v>62</v>
      </c>
    </row>
    <row r="81" spans="1:21" x14ac:dyDescent="0.3">
      <c r="A81" t="s">
        <v>309</v>
      </c>
      <c r="B81">
        <v>61</v>
      </c>
      <c r="C81" t="s">
        <v>22</v>
      </c>
      <c r="D81" t="s">
        <v>127</v>
      </c>
      <c r="E81" t="s">
        <v>24</v>
      </c>
      <c r="F81" s="1">
        <v>45353</v>
      </c>
      <c r="G81" t="s">
        <v>310</v>
      </c>
      <c r="H81" t="s">
        <v>311</v>
      </c>
      <c r="I81" t="s">
        <v>73</v>
      </c>
      <c r="J81">
        <v>29504.39</v>
      </c>
      <c r="K81">
        <v>422</v>
      </c>
      <c r="L81" t="s">
        <v>28</v>
      </c>
      <c r="M81" s="1">
        <v>45377</v>
      </c>
      <c r="N81" t="s">
        <v>41</v>
      </c>
      <c r="O81" t="s">
        <v>42</v>
      </c>
      <c r="P81">
        <v>24</v>
      </c>
      <c r="Q81" t="s">
        <v>43</v>
      </c>
      <c r="R81" t="s">
        <v>32</v>
      </c>
      <c r="S81">
        <v>3</v>
      </c>
      <c r="T81">
        <v>2024</v>
      </c>
      <c r="U81" t="s">
        <v>122</v>
      </c>
    </row>
    <row r="82" spans="1:21" x14ac:dyDescent="0.3">
      <c r="A82" t="s">
        <v>312</v>
      </c>
      <c r="B82">
        <v>20</v>
      </c>
      <c r="C82" t="s">
        <v>22</v>
      </c>
      <c r="D82" t="s">
        <v>56</v>
      </c>
      <c r="E82" t="s">
        <v>115</v>
      </c>
      <c r="F82" s="1">
        <v>44169</v>
      </c>
      <c r="G82" t="s">
        <v>313</v>
      </c>
      <c r="H82" t="s">
        <v>314</v>
      </c>
      <c r="I82" t="s">
        <v>27</v>
      </c>
      <c r="J82">
        <v>34617.79</v>
      </c>
      <c r="K82">
        <v>320</v>
      </c>
      <c r="L82" t="s">
        <v>40</v>
      </c>
      <c r="M82" s="1">
        <v>44173</v>
      </c>
      <c r="N82" t="s">
        <v>41</v>
      </c>
      <c r="O82" t="s">
        <v>61</v>
      </c>
      <c r="P82">
        <v>4</v>
      </c>
      <c r="Q82" t="s">
        <v>31</v>
      </c>
      <c r="R82" t="s">
        <v>44</v>
      </c>
      <c r="S82">
        <v>12</v>
      </c>
      <c r="T82">
        <v>2020</v>
      </c>
      <c r="U82" t="s">
        <v>74</v>
      </c>
    </row>
    <row r="83" spans="1:21" x14ac:dyDescent="0.3">
      <c r="A83" t="s">
        <v>315</v>
      </c>
      <c r="B83">
        <v>67</v>
      </c>
      <c r="C83" t="s">
        <v>22</v>
      </c>
      <c r="D83" t="s">
        <v>64</v>
      </c>
      <c r="E83" t="s">
        <v>96</v>
      </c>
      <c r="F83" s="1">
        <v>44069</v>
      </c>
      <c r="G83" t="s">
        <v>316</v>
      </c>
      <c r="H83" t="s">
        <v>317</v>
      </c>
      <c r="I83" t="s">
        <v>51</v>
      </c>
      <c r="J83">
        <v>46814.01</v>
      </c>
      <c r="K83">
        <v>134</v>
      </c>
      <c r="L83" t="s">
        <v>28</v>
      </c>
      <c r="M83" s="1">
        <v>44070</v>
      </c>
      <c r="N83" t="s">
        <v>67</v>
      </c>
      <c r="O83" t="s">
        <v>61</v>
      </c>
      <c r="P83">
        <v>1</v>
      </c>
      <c r="Q83" t="s">
        <v>43</v>
      </c>
      <c r="R83" t="s">
        <v>44</v>
      </c>
      <c r="S83">
        <v>8</v>
      </c>
      <c r="T83">
        <v>2020</v>
      </c>
      <c r="U83" t="s">
        <v>45</v>
      </c>
    </row>
    <row r="84" spans="1:21" x14ac:dyDescent="0.3">
      <c r="A84" t="s">
        <v>318</v>
      </c>
      <c r="B84">
        <v>80</v>
      </c>
      <c r="C84" t="s">
        <v>47</v>
      </c>
      <c r="D84" t="s">
        <v>76</v>
      </c>
      <c r="E84" t="s">
        <v>57</v>
      </c>
      <c r="F84" s="1">
        <v>45242</v>
      </c>
      <c r="G84" t="s">
        <v>319</v>
      </c>
      <c r="H84" t="s">
        <v>320</v>
      </c>
      <c r="I84" t="s">
        <v>27</v>
      </c>
      <c r="J84">
        <v>20257.54</v>
      </c>
      <c r="K84">
        <v>255</v>
      </c>
      <c r="L84" t="s">
        <v>60</v>
      </c>
      <c r="M84" s="1">
        <v>45272</v>
      </c>
      <c r="N84" t="s">
        <v>67</v>
      </c>
      <c r="O84" t="s">
        <v>61</v>
      </c>
      <c r="P84">
        <v>30</v>
      </c>
      <c r="Q84" t="s">
        <v>53</v>
      </c>
      <c r="R84" t="s">
        <v>32</v>
      </c>
      <c r="S84">
        <v>11</v>
      </c>
      <c r="T84">
        <v>2023</v>
      </c>
      <c r="U84" t="s">
        <v>62</v>
      </c>
    </row>
    <row r="85" spans="1:21" x14ac:dyDescent="0.3">
      <c r="A85" t="s">
        <v>321</v>
      </c>
      <c r="B85">
        <v>44</v>
      </c>
      <c r="C85" t="s">
        <v>22</v>
      </c>
      <c r="D85" t="s">
        <v>56</v>
      </c>
      <c r="E85" t="s">
        <v>36</v>
      </c>
      <c r="F85" s="1">
        <v>43981</v>
      </c>
      <c r="G85" t="s">
        <v>322</v>
      </c>
      <c r="H85" t="s">
        <v>323</v>
      </c>
      <c r="I85" t="s">
        <v>82</v>
      </c>
      <c r="J85">
        <v>22841.360000000001</v>
      </c>
      <c r="K85">
        <v>410</v>
      </c>
      <c r="L85" t="s">
        <v>40</v>
      </c>
      <c r="M85" s="1">
        <v>43996</v>
      </c>
      <c r="N85" t="s">
        <v>52</v>
      </c>
      <c r="O85" t="s">
        <v>42</v>
      </c>
      <c r="P85">
        <v>15</v>
      </c>
      <c r="Q85" t="s">
        <v>68</v>
      </c>
      <c r="R85" t="s">
        <v>32</v>
      </c>
      <c r="S85">
        <v>5</v>
      </c>
      <c r="T85">
        <v>2020</v>
      </c>
      <c r="U85" t="s">
        <v>90</v>
      </c>
    </row>
    <row r="86" spans="1:21" x14ac:dyDescent="0.3">
      <c r="A86" t="s">
        <v>324</v>
      </c>
      <c r="B86">
        <v>26</v>
      </c>
      <c r="C86" t="s">
        <v>47</v>
      </c>
      <c r="D86" t="s">
        <v>23</v>
      </c>
      <c r="E86" t="s">
        <v>70</v>
      </c>
      <c r="F86" s="1">
        <v>45058</v>
      </c>
      <c r="G86" t="s">
        <v>325</v>
      </c>
      <c r="H86" t="s">
        <v>326</v>
      </c>
      <c r="I86" t="s">
        <v>39</v>
      </c>
      <c r="J86">
        <v>10283.719999999999</v>
      </c>
      <c r="K86">
        <v>273</v>
      </c>
      <c r="L86" t="s">
        <v>40</v>
      </c>
      <c r="M86" s="1">
        <v>45087</v>
      </c>
      <c r="N86" t="s">
        <v>41</v>
      </c>
      <c r="O86" t="s">
        <v>61</v>
      </c>
      <c r="P86">
        <v>29</v>
      </c>
      <c r="Q86" t="s">
        <v>31</v>
      </c>
      <c r="R86" t="s">
        <v>32</v>
      </c>
      <c r="S86">
        <v>5</v>
      </c>
      <c r="T86">
        <v>2023</v>
      </c>
      <c r="U86" t="s">
        <v>90</v>
      </c>
    </row>
    <row r="87" spans="1:21" x14ac:dyDescent="0.3">
      <c r="A87" t="s">
        <v>327</v>
      </c>
      <c r="B87">
        <v>80</v>
      </c>
      <c r="C87" t="s">
        <v>22</v>
      </c>
      <c r="D87" t="s">
        <v>64</v>
      </c>
      <c r="E87" t="s">
        <v>24</v>
      </c>
      <c r="F87" s="1">
        <v>44749</v>
      </c>
      <c r="G87" t="s">
        <v>328</v>
      </c>
      <c r="H87" t="s">
        <v>329</v>
      </c>
      <c r="I87" t="s">
        <v>73</v>
      </c>
      <c r="J87">
        <v>1586.48</v>
      </c>
      <c r="K87">
        <v>395</v>
      </c>
      <c r="L87" t="s">
        <v>40</v>
      </c>
      <c r="M87" s="1">
        <v>44765</v>
      </c>
      <c r="N87" t="s">
        <v>41</v>
      </c>
      <c r="O87" t="s">
        <v>30</v>
      </c>
      <c r="P87">
        <v>16</v>
      </c>
      <c r="Q87" t="s">
        <v>53</v>
      </c>
      <c r="R87" t="s">
        <v>100</v>
      </c>
      <c r="S87">
        <v>7</v>
      </c>
      <c r="T87">
        <v>2022</v>
      </c>
      <c r="U87" t="s">
        <v>86</v>
      </c>
    </row>
    <row r="88" spans="1:21" x14ac:dyDescent="0.3">
      <c r="A88" t="s">
        <v>330</v>
      </c>
      <c r="B88">
        <v>63</v>
      </c>
      <c r="C88" t="s">
        <v>22</v>
      </c>
      <c r="D88" t="s">
        <v>23</v>
      </c>
      <c r="E88" t="s">
        <v>70</v>
      </c>
      <c r="F88" s="1">
        <v>44098</v>
      </c>
      <c r="G88" t="s">
        <v>331</v>
      </c>
      <c r="H88" t="s">
        <v>332</v>
      </c>
      <c r="I88" t="s">
        <v>51</v>
      </c>
      <c r="J88">
        <v>34774.35</v>
      </c>
      <c r="K88">
        <v>152</v>
      </c>
      <c r="L88" t="s">
        <v>40</v>
      </c>
      <c r="M88" s="1">
        <v>44112</v>
      </c>
      <c r="N88" t="s">
        <v>67</v>
      </c>
      <c r="O88" t="s">
        <v>42</v>
      </c>
      <c r="P88">
        <v>14</v>
      </c>
      <c r="Q88" t="s">
        <v>43</v>
      </c>
      <c r="R88" t="s">
        <v>44</v>
      </c>
      <c r="S88">
        <v>9</v>
      </c>
      <c r="T88">
        <v>2020</v>
      </c>
      <c r="U88" t="s">
        <v>54</v>
      </c>
    </row>
    <row r="89" spans="1:21" x14ac:dyDescent="0.3">
      <c r="A89" t="s">
        <v>333</v>
      </c>
      <c r="B89">
        <v>58</v>
      </c>
      <c r="C89" t="s">
        <v>47</v>
      </c>
      <c r="D89" t="s">
        <v>23</v>
      </c>
      <c r="E89" t="s">
        <v>115</v>
      </c>
      <c r="F89" s="1">
        <v>45157</v>
      </c>
      <c r="G89" t="s">
        <v>334</v>
      </c>
      <c r="H89" t="s">
        <v>335</v>
      </c>
      <c r="I89" t="s">
        <v>73</v>
      </c>
      <c r="J89">
        <v>24870.1</v>
      </c>
      <c r="K89">
        <v>321</v>
      </c>
      <c r="L89" t="s">
        <v>40</v>
      </c>
      <c r="M89" s="1">
        <v>45163</v>
      </c>
      <c r="N89" t="s">
        <v>41</v>
      </c>
      <c r="O89" t="s">
        <v>42</v>
      </c>
      <c r="P89">
        <v>6</v>
      </c>
      <c r="Q89" t="s">
        <v>43</v>
      </c>
      <c r="R89" t="s">
        <v>32</v>
      </c>
      <c r="S89">
        <v>8</v>
      </c>
      <c r="T89">
        <v>2023</v>
      </c>
      <c r="U89" t="s">
        <v>45</v>
      </c>
    </row>
    <row r="90" spans="1:21" x14ac:dyDescent="0.3">
      <c r="A90" t="s">
        <v>336</v>
      </c>
      <c r="B90">
        <v>38</v>
      </c>
      <c r="C90" t="s">
        <v>47</v>
      </c>
      <c r="D90" t="s">
        <v>35</v>
      </c>
      <c r="E90" t="s">
        <v>24</v>
      </c>
      <c r="F90" s="1">
        <v>45062</v>
      </c>
      <c r="G90" t="s">
        <v>337</v>
      </c>
      <c r="H90" t="s">
        <v>338</v>
      </c>
      <c r="I90" t="s">
        <v>82</v>
      </c>
      <c r="J90">
        <v>39476.949999999997</v>
      </c>
      <c r="K90">
        <v>428</v>
      </c>
      <c r="L90" t="s">
        <v>60</v>
      </c>
      <c r="M90" s="1">
        <v>45078</v>
      </c>
      <c r="N90" t="s">
        <v>52</v>
      </c>
      <c r="O90" t="s">
        <v>61</v>
      </c>
      <c r="P90">
        <v>16</v>
      </c>
      <c r="Q90" t="s">
        <v>68</v>
      </c>
      <c r="R90" t="s">
        <v>44</v>
      </c>
      <c r="S90">
        <v>5</v>
      </c>
      <c r="T90">
        <v>2023</v>
      </c>
      <c r="U90" t="s">
        <v>90</v>
      </c>
    </row>
    <row r="91" spans="1:21" x14ac:dyDescent="0.3">
      <c r="A91" t="s">
        <v>339</v>
      </c>
      <c r="B91">
        <v>60</v>
      </c>
      <c r="C91" t="s">
        <v>22</v>
      </c>
      <c r="D91" t="s">
        <v>127</v>
      </c>
      <c r="E91" t="s">
        <v>96</v>
      </c>
      <c r="F91" s="1">
        <v>44795</v>
      </c>
      <c r="G91" t="s">
        <v>340</v>
      </c>
      <c r="H91" t="s">
        <v>341</v>
      </c>
      <c r="I91" t="s">
        <v>27</v>
      </c>
      <c r="J91">
        <v>26062.43</v>
      </c>
      <c r="K91">
        <v>482</v>
      </c>
      <c r="L91" t="s">
        <v>60</v>
      </c>
      <c r="M91" s="1">
        <v>44811</v>
      </c>
      <c r="N91" t="s">
        <v>29</v>
      </c>
      <c r="O91" t="s">
        <v>42</v>
      </c>
      <c r="P91">
        <v>16</v>
      </c>
      <c r="Q91" t="s">
        <v>43</v>
      </c>
      <c r="R91" t="s">
        <v>32</v>
      </c>
      <c r="S91">
        <v>8</v>
      </c>
      <c r="T91">
        <v>2022</v>
      </c>
      <c r="U91" t="s">
        <v>45</v>
      </c>
    </row>
    <row r="92" spans="1:21" x14ac:dyDescent="0.3">
      <c r="A92" t="s">
        <v>342</v>
      </c>
      <c r="B92">
        <v>49</v>
      </c>
      <c r="C92" t="s">
        <v>22</v>
      </c>
      <c r="D92" t="s">
        <v>127</v>
      </c>
      <c r="E92" t="s">
        <v>24</v>
      </c>
      <c r="F92" s="1">
        <v>44729</v>
      </c>
      <c r="G92" t="s">
        <v>343</v>
      </c>
      <c r="H92" t="s">
        <v>344</v>
      </c>
      <c r="I92" t="s">
        <v>39</v>
      </c>
      <c r="J92">
        <v>25302.11</v>
      </c>
      <c r="K92">
        <v>268</v>
      </c>
      <c r="L92" t="s">
        <v>60</v>
      </c>
      <c r="M92" s="1">
        <v>44740</v>
      </c>
      <c r="N92" t="s">
        <v>67</v>
      </c>
      <c r="O92" t="s">
        <v>61</v>
      </c>
      <c r="P92">
        <v>11</v>
      </c>
      <c r="Q92" t="s">
        <v>68</v>
      </c>
      <c r="R92" t="s">
        <v>32</v>
      </c>
      <c r="S92">
        <v>6</v>
      </c>
      <c r="T92">
        <v>2022</v>
      </c>
      <c r="U92" t="s">
        <v>118</v>
      </c>
    </row>
    <row r="93" spans="1:21" x14ac:dyDescent="0.3">
      <c r="A93" t="s">
        <v>345</v>
      </c>
      <c r="B93">
        <v>80</v>
      </c>
      <c r="C93" t="s">
        <v>22</v>
      </c>
      <c r="D93" t="s">
        <v>35</v>
      </c>
      <c r="E93" t="s">
        <v>57</v>
      </c>
      <c r="F93" s="1">
        <v>44870</v>
      </c>
      <c r="G93" t="s">
        <v>346</v>
      </c>
      <c r="H93" t="s">
        <v>347</v>
      </c>
      <c r="I93" t="s">
        <v>73</v>
      </c>
      <c r="J93">
        <v>10661.51</v>
      </c>
      <c r="K93">
        <v>120</v>
      </c>
      <c r="L93" t="s">
        <v>40</v>
      </c>
      <c r="M93" s="1">
        <v>44890</v>
      </c>
      <c r="N93" t="s">
        <v>99</v>
      </c>
      <c r="O93" t="s">
        <v>61</v>
      </c>
      <c r="P93">
        <v>20</v>
      </c>
      <c r="Q93" t="s">
        <v>53</v>
      </c>
      <c r="R93" t="s">
        <v>32</v>
      </c>
      <c r="S93">
        <v>11</v>
      </c>
      <c r="T93">
        <v>2022</v>
      </c>
      <c r="U93" t="s">
        <v>62</v>
      </c>
    </row>
    <row r="94" spans="1:21" x14ac:dyDescent="0.3">
      <c r="A94" t="s">
        <v>348</v>
      </c>
      <c r="B94">
        <v>35</v>
      </c>
      <c r="C94" t="s">
        <v>47</v>
      </c>
      <c r="D94" t="s">
        <v>127</v>
      </c>
      <c r="E94" t="s">
        <v>57</v>
      </c>
      <c r="F94" s="1">
        <v>44449</v>
      </c>
      <c r="G94" t="s">
        <v>349</v>
      </c>
      <c r="H94" t="s">
        <v>350</v>
      </c>
      <c r="I94" t="s">
        <v>27</v>
      </c>
      <c r="J94">
        <v>30358.19</v>
      </c>
      <c r="K94">
        <v>318</v>
      </c>
      <c r="L94" t="s">
        <v>60</v>
      </c>
      <c r="M94" s="1">
        <v>44457</v>
      </c>
      <c r="N94" t="s">
        <v>41</v>
      </c>
      <c r="O94" t="s">
        <v>42</v>
      </c>
      <c r="P94">
        <v>8</v>
      </c>
      <c r="Q94" t="s">
        <v>31</v>
      </c>
      <c r="R94" t="s">
        <v>44</v>
      </c>
      <c r="S94">
        <v>9</v>
      </c>
      <c r="T94">
        <v>2021</v>
      </c>
      <c r="U94" t="s">
        <v>54</v>
      </c>
    </row>
    <row r="95" spans="1:21" x14ac:dyDescent="0.3">
      <c r="A95" t="s">
        <v>351</v>
      </c>
      <c r="B95">
        <v>84</v>
      </c>
      <c r="C95" t="s">
        <v>22</v>
      </c>
      <c r="D95" t="s">
        <v>35</v>
      </c>
      <c r="E95" t="s">
        <v>70</v>
      </c>
      <c r="F95" s="1">
        <v>44810</v>
      </c>
      <c r="G95" t="s">
        <v>352</v>
      </c>
      <c r="H95" t="s">
        <v>353</v>
      </c>
      <c r="I95" t="s">
        <v>82</v>
      </c>
      <c r="J95">
        <v>23684.53</v>
      </c>
      <c r="K95">
        <v>162</v>
      </c>
      <c r="L95" t="s">
        <v>28</v>
      </c>
      <c r="M95" s="1">
        <v>44831</v>
      </c>
      <c r="N95" t="s">
        <v>41</v>
      </c>
      <c r="O95" t="s">
        <v>42</v>
      </c>
      <c r="P95">
        <v>21</v>
      </c>
      <c r="Q95" t="s">
        <v>53</v>
      </c>
      <c r="R95" t="s">
        <v>32</v>
      </c>
      <c r="S95">
        <v>9</v>
      </c>
      <c r="T95">
        <v>2022</v>
      </c>
      <c r="U95" t="s">
        <v>54</v>
      </c>
    </row>
    <row r="96" spans="1:21" x14ac:dyDescent="0.3">
      <c r="A96" t="s">
        <v>354</v>
      </c>
      <c r="B96">
        <v>76</v>
      </c>
      <c r="C96" t="s">
        <v>22</v>
      </c>
      <c r="D96" t="s">
        <v>35</v>
      </c>
      <c r="E96" t="s">
        <v>57</v>
      </c>
      <c r="F96" s="1">
        <v>44303</v>
      </c>
      <c r="G96" t="s">
        <v>355</v>
      </c>
      <c r="H96" t="s">
        <v>356</v>
      </c>
      <c r="I96" t="s">
        <v>51</v>
      </c>
      <c r="J96">
        <v>3908.95</v>
      </c>
      <c r="K96">
        <v>428</v>
      </c>
      <c r="L96" t="s">
        <v>60</v>
      </c>
      <c r="M96" s="1">
        <v>44326</v>
      </c>
      <c r="N96" t="s">
        <v>99</v>
      </c>
      <c r="O96" t="s">
        <v>42</v>
      </c>
      <c r="P96">
        <v>23</v>
      </c>
      <c r="Q96" t="s">
        <v>53</v>
      </c>
      <c r="R96" t="s">
        <v>100</v>
      </c>
      <c r="S96">
        <v>4</v>
      </c>
      <c r="T96">
        <v>2021</v>
      </c>
      <c r="U96" t="s">
        <v>94</v>
      </c>
    </row>
    <row r="97" spans="1:21" x14ac:dyDescent="0.3">
      <c r="A97" t="s">
        <v>357</v>
      </c>
      <c r="B97">
        <v>79</v>
      </c>
      <c r="C97" t="s">
        <v>47</v>
      </c>
      <c r="D97" t="s">
        <v>48</v>
      </c>
      <c r="E97" t="s">
        <v>96</v>
      </c>
      <c r="F97" s="1">
        <v>43696</v>
      </c>
      <c r="G97" t="s">
        <v>358</v>
      </c>
      <c r="H97" t="s">
        <v>359</v>
      </c>
      <c r="I97" t="s">
        <v>39</v>
      </c>
      <c r="J97">
        <v>25503.67</v>
      </c>
      <c r="K97">
        <v>144</v>
      </c>
      <c r="L97" t="s">
        <v>60</v>
      </c>
      <c r="M97" s="1">
        <v>43703</v>
      </c>
      <c r="N97" t="s">
        <v>99</v>
      </c>
      <c r="O97" t="s">
        <v>61</v>
      </c>
      <c r="P97">
        <v>7</v>
      </c>
      <c r="Q97" t="s">
        <v>53</v>
      </c>
      <c r="R97" t="s">
        <v>32</v>
      </c>
      <c r="S97">
        <v>8</v>
      </c>
      <c r="T97">
        <v>2019</v>
      </c>
      <c r="U97" t="s">
        <v>45</v>
      </c>
    </row>
    <row r="98" spans="1:21" x14ac:dyDescent="0.3">
      <c r="A98" t="s">
        <v>360</v>
      </c>
      <c r="B98">
        <v>76</v>
      </c>
      <c r="C98" t="s">
        <v>47</v>
      </c>
      <c r="D98" t="s">
        <v>56</v>
      </c>
      <c r="E98" t="s">
        <v>57</v>
      </c>
      <c r="F98" s="1">
        <v>45375</v>
      </c>
      <c r="G98" t="s">
        <v>361</v>
      </c>
      <c r="H98" t="s">
        <v>362</v>
      </c>
      <c r="I98" t="s">
        <v>51</v>
      </c>
      <c r="J98">
        <v>6312.61</v>
      </c>
      <c r="K98">
        <v>226</v>
      </c>
      <c r="L98" t="s">
        <v>60</v>
      </c>
      <c r="M98" s="1">
        <v>45396</v>
      </c>
      <c r="N98" t="s">
        <v>52</v>
      </c>
      <c r="O98" t="s">
        <v>61</v>
      </c>
      <c r="P98">
        <v>21</v>
      </c>
      <c r="Q98" t="s">
        <v>53</v>
      </c>
      <c r="R98" t="s">
        <v>100</v>
      </c>
      <c r="S98">
        <v>3</v>
      </c>
      <c r="T98">
        <v>2024</v>
      </c>
      <c r="U98" t="s">
        <v>122</v>
      </c>
    </row>
    <row r="99" spans="1:21" x14ac:dyDescent="0.3">
      <c r="A99" t="s">
        <v>363</v>
      </c>
      <c r="B99">
        <v>55</v>
      </c>
      <c r="C99" t="s">
        <v>47</v>
      </c>
      <c r="D99" t="s">
        <v>35</v>
      </c>
      <c r="E99" t="s">
        <v>57</v>
      </c>
      <c r="F99" s="1">
        <v>44905</v>
      </c>
      <c r="G99" t="s">
        <v>364</v>
      </c>
      <c r="H99" t="s">
        <v>365</v>
      </c>
      <c r="I99" t="s">
        <v>73</v>
      </c>
      <c r="J99">
        <v>21772.34</v>
      </c>
      <c r="K99">
        <v>459</v>
      </c>
      <c r="L99" t="s">
        <v>60</v>
      </c>
      <c r="M99" s="1">
        <v>44926</v>
      </c>
      <c r="N99" t="s">
        <v>41</v>
      </c>
      <c r="O99" t="s">
        <v>30</v>
      </c>
      <c r="P99">
        <v>21</v>
      </c>
      <c r="Q99" t="s">
        <v>68</v>
      </c>
      <c r="R99" t="s">
        <v>32</v>
      </c>
      <c r="S99">
        <v>12</v>
      </c>
      <c r="T99">
        <v>2022</v>
      </c>
      <c r="U99" t="s">
        <v>74</v>
      </c>
    </row>
    <row r="100" spans="1:21" x14ac:dyDescent="0.3">
      <c r="A100" t="s">
        <v>366</v>
      </c>
      <c r="B100">
        <v>53</v>
      </c>
      <c r="C100" t="s">
        <v>22</v>
      </c>
      <c r="D100" t="s">
        <v>23</v>
      </c>
      <c r="E100" t="s">
        <v>24</v>
      </c>
      <c r="F100" s="1">
        <v>44818</v>
      </c>
      <c r="G100" t="s">
        <v>367</v>
      </c>
      <c r="H100" t="s">
        <v>368</v>
      </c>
      <c r="I100" t="s">
        <v>27</v>
      </c>
      <c r="J100">
        <v>30437</v>
      </c>
      <c r="K100">
        <v>208</v>
      </c>
      <c r="L100" t="s">
        <v>60</v>
      </c>
      <c r="M100" s="1">
        <v>44822</v>
      </c>
      <c r="N100" t="s">
        <v>52</v>
      </c>
      <c r="O100" t="s">
        <v>30</v>
      </c>
      <c r="P100">
        <v>4</v>
      </c>
      <c r="Q100" t="s">
        <v>68</v>
      </c>
      <c r="R100" t="s">
        <v>44</v>
      </c>
      <c r="S100">
        <v>9</v>
      </c>
      <c r="T100">
        <v>2022</v>
      </c>
      <c r="U100" t="s">
        <v>54</v>
      </c>
    </row>
    <row r="101" spans="1:21" x14ac:dyDescent="0.3">
      <c r="A101" t="s">
        <v>369</v>
      </c>
      <c r="B101">
        <v>18</v>
      </c>
      <c r="C101" t="s">
        <v>22</v>
      </c>
      <c r="D101" t="s">
        <v>127</v>
      </c>
      <c r="E101" t="s">
        <v>70</v>
      </c>
      <c r="F101" s="1">
        <v>44852</v>
      </c>
      <c r="G101" t="s">
        <v>370</v>
      </c>
      <c r="H101" t="s">
        <v>371</v>
      </c>
      <c r="I101" t="s">
        <v>73</v>
      </c>
      <c r="J101">
        <v>28837.68</v>
      </c>
      <c r="K101">
        <v>227</v>
      </c>
      <c r="L101" t="s">
        <v>60</v>
      </c>
      <c r="M101" s="1">
        <v>44876</v>
      </c>
      <c r="N101" t="s">
        <v>52</v>
      </c>
      <c r="O101" t="s">
        <v>61</v>
      </c>
      <c r="P101">
        <v>24</v>
      </c>
      <c r="Q101" t="s">
        <v>31</v>
      </c>
      <c r="R101" t="s">
        <v>32</v>
      </c>
      <c r="S101">
        <v>10</v>
      </c>
      <c r="T101">
        <v>2022</v>
      </c>
      <c r="U101" t="s">
        <v>110</v>
      </c>
    </row>
    <row r="102" spans="1:21" x14ac:dyDescent="0.3">
      <c r="A102" t="s">
        <v>372</v>
      </c>
      <c r="B102">
        <v>69</v>
      </c>
      <c r="C102" t="s">
        <v>22</v>
      </c>
      <c r="D102" t="s">
        <v>56</v>
      </c>
      <c r="E102" t="s">
        <v>115</v>
      </c>
      <c r="F102" s="1">
        <v>44513</v>
      </c>
      <c r="G102" t="s">
        <v>373</v>
      </c>
      <c r="H102" t="s">
        <v>374</v>
      </c>
      <c r="I102" t="s">
        <v>82</v>
      </c>
      <c r="J102">
        <v>25425.73</v>
      </c>
      <c r="K102">
        <v>115</v>
      </c>
      <c r="L102" t="s">
        <v>60</v>
      </c>
      <c r="M102" s="1">
        <v>44521</v>
      </c>
      <c r="N102" t="s">
        <v>52</v>
      </c>
      <c r="O102" t="s">
        <v>30</v>
      </c>
      <c r="P102">
        <v>8</v>
      </c>
      <c r="Q102" t="s">
        <v>43</v>
      </c>
      <c r="R102" t="s">
        <v>32</v>
      </c>
      <c r="S102">
        <v>11</v>
      </c>
      <c r="T102">
        <v>2021</v>
      </c>
      <c r="U102" t="s">
        <v>62</v>
      </c>
    </row>
    <row r="103" spans="1:21" x14ac:dyDescent="0.3">
      <c r="A103" t="s">
        <v>375</v>
      </c>
      <c r="B103">
        <v>70</v>
      </c>
      <c r="C103" t="s">
        <v>22</v>
      </c>
      <c r="D103" t="s">
        <v>127</v>
      </c>
      <c r="E103" t="s">
        <v>57</v>
      </c>
      <c r="F103" s="1">
        <v>44750</v>
      </c>
      <c r="G103" t="s">
        <v>376</v>
      </c>
      <c r="H103" t="s">
        <v>377</v>
      </c>
      <c r="I103" t="s">
        <v>51</v>
      </c>
      <c r="J103">
        <v>7187.27</v>
      </c>
      <c r="K103">
        <v>402</v>
      </c>
      <c r="L103" t="s">
        <v>40</v>
      </c>
      <c r="M103" s="1">
        <v>44767</v>
      </c>
      <c r="N103" t="s">
        <v>52</v>
      </c>
      <c r="O103" t="s">
        <v>30</v>
      </c>
      <c r="P103">
        <v>17</v>
      </c>
      <c r="Q103" t="s">
        <v>43</v>
      </c>
      <c r="R103" t="s">
        <v>100</v>
      </c>
      <c r="S103">
        <v>7</v>
      </c>
      <c r="T103">
        <v>2022</v>
      </c>
      <c r="U103" t="s">
        <v>86</v>
      </c>
    </row>
    <row r="104" spans="1:21" x14ac:dyDescent="0.3">
      <c r="A104" t="s">
        <v>378</v>
      </c>
      <c r="B104">
        <v>21</v>
      </c>
      <c r="C104" t="s">
        <v>22</v>
      </c>
      <c r="D104" t="s">
        <v>35</v>
      </c>
      <c r="E104" t="s">
        <v>57</v>
      </c>
      <c r="F104" s="1">
        <v>45102</v>
      </c>
      <c r="G104" t="s">
        <v>379</v>
      </c>
      <c r="H104" t="s">
        <v>380</v>
      </c>
      <c r="I104" t="s">
        <v>73</v>
      </c>
      <c r="J104">
        <v>3125.74</v>
      </c>
      <c r="K104">
        <v>442</v>
      </c>
      <c r="L104" t="s">
        <v>28</v>
      </c>
      <c r="M104" s="1">
        <v>45118</v>
      </c>
      <c r="N104" t="s">
        <v>41</v>
      </c>
      <c r="O104" t="s">
        <v>30</v>
      </c>
      <c r="P104">
        <v>16</v>
      </c>
      <c r="Q104" t="s">
        <v>31</v>
      </c>
      <c r="R104" t="s">
        <v>100</v>
      </c>
      <c r="S104">
        <v>6</v>
      </c>
      <c r="T104">
        <v>2023</v>
      </c>
      <c r="U104" t="s">
        <v>118</v>
      </c>
    </row>
    <row r="105" spans="1:21" x14ac:dyDescent="0.3">
      <c r="A105" t="s">
        <v>381</v>
      </c>
      <c r="B105">
        <v>47</v>
      </c>
      <c r="C105" t="s">
        <v>22</v>
      </c>
      <c r="D105" t="s">
        <v>48</v>
      </c>
      <c r="E105" t="s">
        <v>57</v>
      </c>
      <c r="F105" s="1">
        <v>43655</v>
      </c>
      <c r="G105" t="s">
        <v>382</v>
      </c>
      <c r="H105" t="s">
        <v>383</v>
      </c>
      <c r="I105" t="s">
        <v>39</v>
      </c>
      <c r="J105">
        <v>31516.1</v>
      </c>
      <c r="K105">
        <v>418</v>
      </c>
      <c r="L105" t="s">
        <v>60</v>
      </c>
      <c r="M105" s="1">
        <v>43682</v>
      </c>
      <c r="N105" t="s">
        <v>67</v>
      </c>
      <c r="O105" t="s">
        <v>42</v>
      </c>
      <c r="P105">
        <v>27</v>
      </c>
      <c r="Q105" t="s">
        <v>68</v>
      </c>
      <c r="R105" t="s">
        <v>44</v>
      </c>
      <c r="S105">
        <v>7</v>
      </c>
      <c r="T105">
        <v>2019</v>
      </c>
      <c r="U105" t="s">
        <v>86</v>
      </c>
    </row>
    <row r="106" spans="1:21" x14ac:dyDescent="0.3">
      <c r="A106" t="s">
        <v>384</v>
      </c>
      <c r="B106">
        <v>85</v>
      </c>
      <c r="C106" t="s">
        <v>22</v>
      </c>
      <c r="D106" t="s">
        <v>48</v>
      </c>
      <c r="E106" t="s">
        <v>115</v>
      </c>
      <c r="F106" s="1">
        <v>44330</v>
      </c>
      <c r="G106" t="s">
        <v>385</v>
      </c>
      <c r="H106" t="s">
        <v>386</v>
      </c>
      <c r="I106" t="s">
        <v>73</v>
      </c>
      <c r="J106">
        <v>40014.76</v>
      </c>
      <c r="K106">
        <v>425</v>
      </c>
      <c r="L106" t="s">
        <v>40</v>
      </c>
      <c r="M106" s="1">
        <v>44350</v>
      </c>
      <c r="N106" t="s">
        <v>52</v>
      </c>
      <c r="O106" t="s">
        <v>61</v>
      </c>
      <c r="P106">
        <v>20</v>
      </c>
      <c r="Q106" t="s">
        <v>53</v>
      </c>
      <c r="R106" t="s">
        <v>44</v>
      </c>
      <c r="S106">
        <v>5</v>
      </c>
      <c r="T106">
        <v>2021</v>
      </c>
      <c r="U106" t="s">
        <v>90</v>
      </c>
    </row>
    <row r="107" spans="1:21" x14ac:dyDescent="0.3">
      <c r="A107" t="s">
        <v>387</v>
      </c>
      <c r="B107">
        <v>28</v>
      </c>
      <c r="C107" t="s">
        <v>22</v>
      </c>
      <c r="D107" t="s">
        <v>56</v>
      </c>
      <c r="E107" t="s">
        <v>24</v>
      </c>
      <c r="F107" s="1">
        <v>45306</v>
      </c>
      <c r="G107" t="s">
        <v>388</v>
      </c>
      <c r="H107" t="s">
        <v>389</v>
      </c>
      <c r="I107" t="s">
        <v>39</v>
      </c>
      <c r="J107">
        <v>40782.93</v>
      </c>
      <c r="K107">
        <v>373</v>
      </c>
      <c r="L107" t="s">
        <v>60</v>
      </c>
      <c r="M107" s="1">
        <v>45329</v>
      </c>
      <c r="N107" t="s">
        <v>41</v>
      </c>
      <c r="O107" t="s">
        <v>61</v>
      </c>
      <c r="P107">
        <v>23</v>
      </c>
      <c r="Q107" t="s">
        <v>31</v>
      </c>
      <c r="R107" t="s">
        <v>44</v>
      </c>
      <c r="S107">
        <v>1</v>
      </c>
      <c r="T107">
        <v>2024</v>
      </c>
      <c r="U107" t="s">
        <v>33</v>
      </c>
    </row>
    <row r="108" spans="1:21" x14ac:dyDescent="0.3">
      <c r="A108" t="s">
        <v>390</v>
      </c>
      <c r="B108">
        <v>62</v>
      </c>
      <c r="C108" t="s">
        <v>22</v>
      </c>
      <c r="D108" t="s">
        <v>48</v>
      </c>
      <c r="E108" t="s">
        <v>36</v>
      </c>
      <c r="F108" s="1">
        <v>43738</v>
      </c>
      <c r="G108" t="s">
        <v>391</v>
      </c>
      <c r="H108" t="s">
        <v>392</v>
      </c>
      <c r="I108" t="s">
        <v>82</v>
      </c>
      <c r="J108">
        <v>3879.08</v>
      </c>
      <c r="K108">
        <v>290</v>
      </c>
      <c r="L108" t="s">
        <v>60</v>
      </c>
      <c r="M108" s="1">
        <v>43753</v>
      </c>
      <c r="N108" t="s">
        <v>52</v>
      </c>
      <c r="O108" t="s">
        <v>42</v>
      </c>
      <c r="P108">
        <v>15</v>
      </c>
      <c r="Q108" t="s">
        <v>43</v>
      </c>
      <c r="R108" t="s">
        <v>100</v>
      </c>
      <c r="S108">
        <v>9</v>
      </c>
      <c r="T108">
        <v>2019</v>
      </c>
      <c r="U108" t="s">
        <v>54</v>
      </c>
    </row>
    <row r="109" spans="1:21" x14ac:dyDescent="0.3">
      <c r="A109" t="s">
        <v>393</v>
      </c>
      <c r="B109">
        <v>49</v>
      </c>
      <c r="C109" t="s">
        <v>47</v>
      </c>
      <c r="D109" t="s">
        <v>23</v>
      </c>
      <c r="E109" t="s">
        <v>115</v>
      </c>
      <c r="F109" s="1">
        <v>44260</v>
      </c>
      <c r="G109" t="s">
        <v>394</v>
      </c>
      <c r="H109" t="s">
        <v>395</v>
      </c>
      <c r="I109" t="s">
        <v>39</v>
      </c>
      <c r="J109">
        <v>24948.48</v>
      </c>
      <c r="K109">
        <v>361</v>
      </c>
      <c r="L109" t="s">
        <v>40</v>
      </c>
      <c r="M109" s="1">
        <v>44275</v>
      </c>
      <c r="N109" t="s">
        <v>67</v>
      </c>
      <c r="O109" t="s">
        <v>61</v>
      </c>
      <c r="P109">
        <v>15</v>
      </c>
      <c r="Q109" t="s">
        <v>68</v>
      </c>
      <c r="R109" t="s">
        <v>32</v>
      </c>
      <c r="S109">
        <v>3</v>
      </c>
      <c r="T109">
        <v>2021</v>
      </c>
      <c r="U109" t="s">
        <v>122</v>
      </c>
    </row>
    <row r="110" spans="1:21" x14ac:dyDescent="0.3">
      <c r="A110" t="s">
        <v>396</v>
      </c>
      <c r="B110">
        <v>52</v>
      </c>
      <c r="C110" t="s">
        <v>22</v>
      </c>
      <c r="D110" t="s">
        <v>76</v>
      </c>
      <c r="E110" t="s">
        <v>96</v>
      </c>
      <c r="F110" s="1">
        <v>44330</v>
      </c>
      <c r="G110" t="s">
        <v>397</v>
      </c>
      <c r="H110" t="s">
        <v>398</v>
      </c>
      <c r="I110" t="s">
        <v>82</v>
      </c>
      <c r="J110">
        <v>37734.74</v>
      </c>
      <c r="K110">
        <v>251</v>
      </c>
      <c r="L110" t="s">
        <v>60</v>
      </c>
      <c r="M110" s="1">
        <v>44353</v>
      </c>
      <c r="N110" t="s">
        <v>67</v>
      </c>
      <c r="O110" t="s">
        <v>61</v>
      </c>
      <c r="P110">
        <v>23</v>
      </c>
      <c r="Q110" t="s">
        <v>68</v>
      </c>
      <c r="R110" t="s">
        <v>44</v>
      </c>
      <c r="S110">
        <v>5</v>
      </c>
      <c r="T110">
        <v>2021</v>
      </c>
      <c r="U110" t="s">
        <v>90</v>
      </c>
    </row>
    <row r="111" spans="1:21" x14ac:dyDescent="0.3">
      <c r="A111" t="s">
        <v>399</v>
      </c>
      <c r="B111">
        <v>53</v>
      </c>
      <c r="C111" t="s">
        <v>22</v>
      </c>
      <c r="D111" t="s">
        <v>127</v>
      </c>
      <c r="E111" t="s">
        <v>24</v>
      </c>
      <c r="F111" s="1">
        <v>45085</v>
      </c>
      <c r="G111" t="s">
        <v>400</v>
      </c>
      <c r="H111" t="s">
        <v>401</v>
      </c>
      <c r="I111" t="s">
        <v>73</v>
      </c>
      <c r="J111">
        <v>27360.46</v>
      </c>
      <c r="K111">
        <v>231</v>
      </c>
      <c r="L111" t="s">
        <v>60</v>
      </c>
      <c r="M111" s="1">
        <v>45112</v>
      </c>
      <c r="N111" t="s">
        <v>41</v>
      </c>
      <c r="O111" t="s">
        <v>61</v>
      </c>
      <c r="P111">
        <v>27</v>
      </c>
      <c r="Q111" t="s">
        <v>68</v>
      </c>
      <c r="R111" t="s">
        <v>32</v>
      </c>
      <c r="S111">
        <v>6</v>
      </c>
      <c r="T111">
        <v>2023</v>
      </c>
      <c r="U111" t="s">
        <v>118</v>
      </c>
    </row>
    <row r="112" spans="1:21" x14ac:dyDescent="0.3">
      <c r="A112" t="s">
        <v>402</v>
      </c>
      <c r="B112">
        <v>55</v>
      </c>
      <c r="C112" t="s">
        <v>22</v>
      </c>
      <c r="D112" t="s">
        <v>76</v>
      </c>
      <c r="E112" t="s">
        <v>70</v>
      </c>
      <c r="F112" s="1">
        <v>44694</v>
      </c>
      <c r="G112" t="s">
        <v>403</v>
      </c>
      <c r="H112" t="s">
        <v>404</v>
      </c>
      <c r="I112" t="s">
        <v>51</v>
      </c>
      <c r="J112">
        <v>37405.699999999997</v>
      </c>
      <c r="K112">
        <v>212</v>
      </c>
      <c r="L112" t="s">
        <v>60</v>
      </c>
      <c r="M112" s="1">
        <v>44701</v>
      </c>
      <c r="N112" t="s">
        <v>29</v>
      </c>
      <c r="O112" t="s">
        <v>30</v>
      </c>
      <c r="P112">
        <v>7</v>
      </c>
      <c r="Q112" t="s">
        <v>68</v>
      </c>
      <c r="R112" t="s">
        <v>44</v>
      </c>
      <c r="S112">
        <v>5</v>
      </c>
      <c r="T112">
        <v>2022</v>
      </c>
      <c r="U112" t="s">
        <v>90</v>
      </c>
    </row>
    <row r="113" spans="1:21" x14ac:dyDescent="0.3">
      <c r="A113" t="s">
        <v>405</v>
      </c>
      <c r="B113">
        <v>18</v>
      </c>
      <c r="C113" t="s">
        <v>22</v>
      </c>
      <c r="D113" t="s">
        <v>23</v>
      </c>
      <c r="E113" t="s">
        <v>115</v>
      </c>
      <c r="F113" s="1">
        <v>44826</v>
      </c>
      <c r="G113" t="s">
        <v>406</v>
      </c>
      <c r="H113" t="s">
        <v>407</v>
      </c>
      <c r="I113" t="s">
        <v>39</v>
      </c>
      <c r="J113">
        <v>31485.97</v>
      </c>
      <c r="K113">
        <v>440</v>
      </c>
      <c r="L113" t="s">
        <v>40</v>
      </c>
      <c r="M113" s="1">
        <v>44848</v>
      </c>
      <c r="N113" t="s">
        <v>41</v>
      </c>
      <c r="O113" t="s">
        <v>30</v>
      </c>
      <c r="P113">
        <v>22</v>
      </c>
      <c r="Q113" t="s">
        <v>31</v>
      </c>
      <c r="R113" t="s">
        <v>44</v>
      </c>
      <c r="S113">
        <v>9</v>
      </c>
      <c r="T113">
        <v>2022</v>
      </c>
      <c r="U113" t="s">
        <v>54</v>
      </c>
    </row>
    <row r="114" spans="1:21" x14ac:dyDescent="0.3">
      <c r="A114" t="s">
        <v>408</v>
      </c>
      <c r="B114">
        <v>52</v>
      </c>
      <c r="C114" t="s">
        <v>22</v>
      </c>
      <c r="D114" t="s">
        <v>76</v>
      </c>
      <c r="E114" t="s">
        <v>96</v>
      </c>
      <c r="F114" s="1">
        <v>45163</v>
      </c>
      <c r="G114" t="s">
        <v>409</v>
      </c>
      <c r="H114" t="s">
        <v>410</v>
      </c>
      <c r="I114" t="s">
        <v>39</v>
      </c>
      <c r="J114">
        <v>23737.4</v>
      </c>
      <c r="K114">
        <v>414</v>
      </c>
      <c r="L114" t="s">
        <v>28</v>
      </c>
      <c r="M114" s="1">
        <v>45187</v>
      </c>
      <c r="N114" t="s">
        <v>99</v>
      </c>
      <c r="O114" t="s">
        <v>30</v>
      </c>
      <c r="P114">
        <v>24</v>
      </c>
      <c r="Q114" t="s">
        <v>68</v>
      </c>
      <c r="R114" t="s">
        <v>32</v>
      </c>
      <c r="S114">
        <v>8</v>
      </c>
      <c r="T114">
        <v>2023</v>
      </c>
      <c r="U114" t="s">
        <v>45</v>
      </c>
    </row>
    <row r="115" spans="1:21" x14ac:dyDescent="0.3">
      <c r="A115" t="s">
        <v>411</v>
      </c>
      <c r="B115">
        <v>67</v>
      </c>
      <c r="C115" t="s">
        <v>22</v>
      </c>
      <c r="D115" t="s">
        <v>76</v>
      </c>
      <c r="E115" t="s">
        <v>36</v>
      </c>
      <c r="F115" s="1">
        <v>43618</v>
      </c>
      <c r="G115" t="s">
        <v>412</v>
      </c>
      <c r="H115" t="s">
        <v>413</v>
      </c>
      <c r="I115" t="s">
        <v>51</v>
      </c>
      <c r="J115">
        <v>3326.38</v>
      </c>
      <c r="K115">
        <v>424</v>
      </c>
      <c r="L115" t="s">
        <v>40</v>
      </c>
      <c r="M115" s="1">
        <v>43620</v>
      </c>
      <c r="N115" t="s">
        <v>99</v>
      </c>
      <c r="O115" t="s">
        <v>42</v>
      </c>
      <c r="P115">
        <v>2</v>
      </c>
      <c r="Q115" t="s">
        <v>43</v>
      </c>
      <c r="R115" t="s">
        <v>100</v>
      </c>
      <c r="S115">
        <v>6</v>
      </c>
      <c r="T115">
        <v>2019</v>
      </c>
      <c r="U115" t="s">
        <v>118</v>
      </c>
    </row>
    <row r="116" spans="1:21" x14ac:dyDescent="0.3">
      <c r="A116" t="s">
        <v>414</v>
      </c>
      <c r="B116">
        <v>82</v>
      </c>
      <c r="C116" t="s">
        <v>47</v>
      </c>
      <c r="D116" t="s">
        <v>35</v>
      </c>
      <c r="E116" t="s">
        <v>96</v>
      </c>
      <c r="F116" s="1">
        <v>44519</v>
      </c>
      <c r="G116" t="s">
        <v>415</v>
      </c>
      <c r="H116" t="s">
        <v>416</v>
      </c>
      <c r="I116" t="s">
        <v>39</v>
      </c>
      <c r="J116">
        <v>23067.67</v>
      </c>
      <c r="K116">
        <v>307</v>
      </c>
      <c r="L116" t="s">
        <v>60</v>
      </c>
      <c r="M116" s="1">
        <v>44542</v>
      </c>
      <c r="N116" t="s">
        <v>41</v>
      </c>
      <c r="O116" t="s">
        <v>30</v>
      </c>
      <c r="P116">
        <v>23</v>
      </c>
      <c r="Q116" t="s">
        <v>53</v>
      </c>
      <c r="R116" t="s">
        <v>32</v>
      </c>
      <c r="S116">
        <v>11</v>
      </c>
      <c r="T116">
        <v>2021</v>
      </c>
      <c r="U116" t="s">
        <v>62</v>
      </c>
    </row>
    <row r="117" spans="1:21" x14ac:dyDescent="0.3">
      <c r="A117" t="s">
        <v>417</v>
      </c>
      <c r="B117">
        <v>37</v>
      </c>
      <c r="C117" t="s">
        <v>47</v>
      </c>
      <c r="D117" t="s">
        <v>56</v>
      </c>
      <c r="E117" t="s">
        <v>70</v>
      </c>
      <c r="F117" s="1">
        <v>43801</v>
      </c>
      <c r="G117" t="s">
        <v>418</v>
      </c>
      <c r="H117" t="s">
        <v>419</v>
      </c>
      <c r="I117" t="s">
        <v>51</v>
      </c>
      <c r="J117">
        <v>8521.2099999999991</v>
      </c>
      <c r="K117">
        <v>476</v>
      </c>
      <c r="L117" t="s">
        <v>60</v>
      </c>
      <c r="M117" s="1">
        <v>43812</v>
      </c>
      <c r="N117" t="s">
        <v>67</v>
      </c>
      <c r="O117" t="s">
        <v>61</v>
      </c>
      <c r="P117">
        <v>11</v>
      </c>
      <c r="Q117" t="s">
        <v>68</v>
      </c>
      <c r="R117" t="s">
        <v>100</v>
      </c>
      <c r="S117">
        <v>12</v>
      </c>
      <c r="T117">
        <v>2019</v>
      </c>
      <c r="U117" t="s">
        <v>74</v>
      </c>
    </row>
    <row r="118" spans="1:21" x14ac:dyDescent="0.3">
      <c r="A118" t="s">
        <v>420</v>
      </c>
      <c r="B118">
        <v>52</v>
      </c>
      <c r="C118" t="s">
        <v>47</v>
      </c>
      <c r="D118" t="s">
        <v>76</v>
      </c>
      <c r="E118" t="s">
        <v>24</v>
      </c>
      <c r="F118" s="1">
        <v>44064</v>
      </c>
      <c r="G118" t="s">
        <v>421</v>
      </c>
      <c r="H118" t="s">
        <v>422</v>
      </c>
      <c r="I118" t="s">
        <v>82</v>
      </c>
      <c r="J118">
        <v>47985.17</v>
      </c>
      <c r="K118">
        <v>388</v>
      </c>
      <c r="L118" t="s">
        <v>60</v>
      </c>
      <c r="M118" s="1">
        <v>44080</v>
      </c>
      <c r="N118" t="s">
        <v>67</v>
      </c>
      <c r="O118" t="s">
        <v>42</v>
      </c>
      <c r="P118">
        <v>16</v>
      </c>
      <c r="Q118" t="s">
        <v>68</v>
      </c>
      <c r="R118" t="s">
        <v>44</v>
      </c>
      <c r="S118">
        <v>8</v>
      </c>
      <c r="T118">
        <v>2020</v>
      </c>
      <c r="U118" t="s">
        <v>45</v>
      </c>
    </row>
    <row r="119" spans="1:21" x14ac:dyDescent="0.3">
      <c r="A119" t="s">
        <v>423</v>
      </c>
      <c r="B119">
        <v>37</v>
      </c>
      <c r="C119" t="s">
        <v>47</v>
      </c>
      <c r="D119" t="s">
        <v>127</v>
      </c>
      <c r="E119" t="s">
        <v>70</v>
      </c>
      <c r="F119" s="1">
        <v>44239</v>
      </c>
      <c r="G119" t="s">
        <v>424</v>
      </c>
      <c r="H119" t="s">
        <v>425</v>
      </c>
      <c r="I119" t="s">
        <v>73</v>
      </c>
      <c r="J119">
        <v>25230.25</v>
      </c>
      <c r="K119">
        <v>326</v>
      </c>
      <c r="L119" t="s">
        <v>60</v>
      </c>
      <c r="M119" s="1">
        <v>44266</v>
      </c>
      <c r="N119" t="s">
        <v>41</v>
      </c>
      <c r="O119" t="s">
        <v>42</v>
      </c>
      <c r="P119">
        <v>27</v>
      </c>
      <c r="Q119" t="s">
        <v>68</v>
      </c>
      <c r="R119" t="s">
        <v>32</v>
      </c>
      <c r="S119">
        <v>2</v>
      </c>
      <c r="T119">
        <v>2021</v>
      </c>
      <c r="U119" t="s">
        <v>278</v>
      </c>
    </row>
    <row r="120" spans="1:21" x14ac:dyDescent="0.3">
      <c r="A120" t="s">
        <v>426</v>
      </c>
      <c r="B120">
        <v>83</v>
      </c>
      <c r="C120" t="s">
        <v>47</v>
      </c>
      <c r="D120" t="s">
        <v>35</v>
      </c>
      <c r="E120" t="s">
        <v>57</v>
      </c>
      <c r="F120" s="1">
        <v>45304</v>
      </c>
      <c r="G120" t="s">
        <v>427</v>
      </c>
      <c r="H120" t="s">
        <v>428</v>
      </c>
      <c r="I120" t="s">
        <v>27</v>
      </c>
      <c r="J120">
        <v>10352.209999999999</v>
      </c>
      <c r="K120">
        <v>394</v>
      </c>
      <c r="L120" t="s">
        <v>28</v>
      </c>
      <c r="M120" s="1">
        <v>45313</v>
      </c>
      <c r="N120" t="s">
        <v>52</v>
      </c>
      <c r="O120" t="s">
        <v>61</v>
      </c>
      <c r="P120">
        <v>9</v>
      </c>
      <c r="Q120" t="s">
        <v>53</v>
      </c>
      <c r="R120" t="s">
        <v>32</v>
      </c>
      <c r="S120">
        <v>1</v>
      </c>
      <c r="T120">
        <v>2024</v>
      </c>
      <c r="U120" t="s">
        <v>33</v>
      </c>
    </row>
    <row r="121" spans="1:21" x14ac:dyDescent="0.3">
      <c r="A121" t="s">
        <v>429</v>
      </c>
      <c r="B121">
        <v>33</v>
      </c>
      <c r="C121" t="s">
        <v>22</v>
      </c>
      <c r="D121" t="s">
        <v>149</v>
      </c>
      <c r="E121" t="s">
        <v>115</v>
      </c>
      <c r="F121" s="1">
        <v>44556</v>
      </c>
      <c r="G121" t="s">
        <v>430</v>
      </c>
      <c r="H121" t="s">
        <v>431</v>
      </c>
      <c r="I121" t="s">
        <v>39</v>
      </c>
      <c r="J121">
        <v>6175.87</v>
      </c>
      <c r="K121">
        <v>138</v>
      </c>
      <c r="L121" t="s">
        <v>28</v>
      </c>
      <c r="M121" s="1">
        <v>44573</v>
      </c>
      <c r="N121" t="s">
        <v>52</v>
      </c>
      <c r="O121" t="s">
        <v>61</v>
      </c>
      <c r="P121">
        <v>17</v>
      </c>
      <c r="Q121" t="s">
        <v>31</v>
      </c>
      <c r="R121" t="s">
        <v>100</v>
      </c>
      <c r="S121">
        <v>12</v>
      </c>
      <c r="T121">
        <v>2021</v>
      </c>
      <c r="U121" t="s">
        <v>74</v>
      </c>
    </row>
    <row r="122" spans="1:21" x14ac:dyDescent="0.3">
      <c r="A122" t="s">
        <v>432</v>
      </c>
      <c r="B122">
        <v>22</v>
      </c>
      <c r="C122" t="s">
        <v>47</v>
      </c>
      <c r="D122" t="s">
        <v>48</v>
      </c>
      <c r="E122" t="s">
        <v>36</v>
      </c>
      <c r="F122" s="1">
        <v>44795</v>
      </c>
      <c r="G122" t="s">
        <v>433</v>
      </c>
      <c r="H122" t="s">
        <v>434</v>
      </c>
      <c r="I122" t="s">
        <v>27</v>
      </c>
      <c r="J122">
        <v>23499.94</v>
      </c>
      <c r="K122">
        <v>178</v>
      </c>
      <c r="L122" t="s">
        <v>28</v>
      </c>
      <c r="M122" s="1">
        <v>44811</v>
      </c>
      <c r="N122" t="s">
        <v>67</v>
      </c>
      <c r="O122" t="s">
        <v>30</v>
      </c>
      <c r="P122">
        <v>16</v>
      </c>
      <c r="Q122" t="s">
        <v>31</v>
      </c>
      <c r="R122" t="s">
        <v>32</v>
      </c>
      <c r="S122">
        <v>8</v>
      </c>
      <c r="T122">
        <v>2022</v>
      </c>
      <c r="U122" t="s">
        <v>45</v>
      </c>
    </row>
    <row r="123" spans="1:21" x14ac:dyDescent="0.3">
      <c r="A123" t="s">
        <v>435</v>
      </c>
      <c r="B123">
        <v>19</v>
      </c>
      <c r="C123" t="s">
        <v>47</v>
      </c>
      <c r="D123" t="s">
        <v>127</v>
      </c>
      <c r="E123" t="s">
        <v>24</v>
      </c>
      <c r="F123" s="1">
        <v>44380</v>
      </c>
      <c r="G123" t="s">
        <v>436</v>
      </c>
      <c r="H123" t="s">
        <v>437</v>
      </c>
      <c r="I123" t="s">
        <v>39</v>
      </c>
      <c r="J123">
        <v>33681.57</v>
      </c>
      <c r="K123">
        <v>177</v>
      </c>
      <c r="L123" t="s">
        <v>60</v>
      </c>
      <c r="M123" s="1">
        <v>44408</v>
      </c>
      <c r="N123" t="s">
        <v>41</v>
      </c>
      <c r="O123" t="s">
        <v>61</v>
      </c>
      <c r="P123">
        <v>28</v>
      </c>
      <c r="Q123" t="s">
        <v>31</v>
      </c>
      <c r="R123" t="s">
        <v>44</v>
      </c>
      <c r="S123">
        <v>7</v>
      </c>
      <c r="T123">
        <v>2021</v>
      </c>
      <c r="U123" t="s">
        <v>86</v>
      </c>
    </row>
    <row r="124" spans="1:21" x14ac:dyDescent="0.3">
      <c r="A124" t="s">
        <v>438</v>
      </c>
      <c r="B124">
        <v>85</v>
      </c>
      <c r="C124" t="s">
        <v>47</v>
      </c>
      <c r="D124" t="s">
        <v>56</v>
      </c>
      <c r="E124" t="s">
        <v>36</v>
      </c>
      <c r="F124" s="1">
        <v>43982</v>
      </c>
      <c r="G124" t="s">
        <v>439</v>
      </c>
      <c r="H124" t="s">
        <v>440</v>
      </c>
      <c r="I124" t="s">
        <v>51</v>
      </c>
      <c r="J124">
        <v>39957.94</v>
      </c>
      <c r="K124">
        <v>211</v>
      </c>
      <c r="L124" t="s">
        <v>28</v>
      </c>
      <c r="M124" s="1">
        <v>43983</v>
      </c>
      <c r="N124" t="s">
        <v>41</v>
      </c>
      <c r="O124" t="s">
        <v>30</v>
      </c>
      <c r="P124">
        <v>1</v>
      </c>
      <c r="Q124" t="s">
        <v>53</v>
      </c>
      <c r="R124" t="s">
        <v>44</v>
      </c>
      <c r="S124">
        <v>5</v>
      </c>
      <c r="T124">
        <v>2020</v>
      </c>
      <c r="U124" t="s">
        <v>90</v>
      </c>
    </row>
    <row r="125" spans="1:21" x14ac:dyDescent="0.3">
      <c r="A125" t="s">
        <v>441</v>
      </c>
      <c r="B125">
        <v>19</v>
      </c>
      <c r="C125" t="s">
        <v>22</v>
      </c>
      <c r="D125" t="s">
        <v>127</v>
      </c>
      <c r="E125" t="s">
        <v>24</v>
      </c>
      <c r="F125" s="1">
        <v>44130</v>
      </c>
      <c r="G125" t="s">
        <v>442</v>
      </c>
      <c r="H125" t="s">
        <v>443</v>
      </c>
      <c r="I125" t="s">
        <v>73</v>
      </c>
      <c r="J125">
        <v>49833.71</v>
      </c>
      <c r="K125">
        <v>302</v>
      </c>
      <c r="L125" t="s">
        <v>60</v>
      </c>
      <c r="M125" s="1">
        <v>44152</v>
      </c>
      <c r="N125" t="s">
        <v>99</v>
      </c>
      <c r="O125" t="s">
        <v>42</v>
      </c>
      <c r="P125">
        <v>22</v>
      </c>
      <c r="Q125" t="s">
        <v>31</v>
      </c>
      <c r="R125" t="s">
        <v>44</v>
      </c>
      <c r="S125">
        <v>10</v>
      </c>
      <c r="T125">
        <v>2020</v>
      </c>
      <c r="U125" t="s">
        <v>110</v>
      </c>
    </row>
    <row r="126" spans="1:21" x14ac:dyDescent="0.3">
      <c r="A126" t="s">
        <v>444</v>
      </c>
      <c r="B126">
        <v>50</v>
      </c>
      <c r="C126" t="s">
        <v>47</v>
      </c>
      <c r="D126" t="s">
        <v>23</v>
      </c>
      <c r="E126" t="s">
        <v>70</v>
      </c>
      <c r="F126" s="1">
        <v>44350</v>
      </c>
      <c r="G126" t="s">
        <v>445</v>
      </c>
      <c r="H126" t="s">
        <v>446</v>
      </c>
      <c r="I126" t="s">
        <v>51</v>
      </c>
      <c r="J126">
        <v>48175.47</v>
      </c>
      <c r="K126">
        <v>368</v>
      </c>
      <c r="L126" t="s">
        <v>28</v>
      </c>
      <c r="M126" s="1">
        <v>44378</v>
      </c>
      <c r="N126" t="s">
        <v>29</v>
      </c>
      <c r="O126" t="s">
        <v>42</v>
      </c>
      <c r="P126">
        <v>28</v>
      </c>
      <c r="Q126" t="s">
        <v>68</v>
      </c>
      <c r="R126" t="s">
        <v>44</v>
      </c>
      <c r="S126">
        <v>6</v>
      </c>
      <c r="T126">
        <v>2021</v>
      </c>
      <c r="U126" t="s">
        <v>118</v>
      </c>
    </row>
    <row r="127" spans="1:21" x14ac:dyDescent="0.3">
      <c r="A127" t="s">
        <v>447</v>
      </c>
      <c r="B127">
        <v>50</v>
      </c>
      <c r="C127" t="s">
        <v>47</v>
      </c>
      <c r="D127" t="s">
        <v>149</v>
      </c>
      <c r="E127" t="s">
        <v>36</v>
      </c>
      <c r="F127" s="1">
        <v>44128</v>
      </c>
      <c r="G127" t="s">
        <v>448</v>
      </c>
      <c r="H127" t="s">
        <v>449</v>
      </c>
      <c r="I127" t="s">
        <v>73</v>
      </c>
      <c r="J127">
        <v>40133.97</v>
      </c>
      <c r="K127">
        <v>130</v>
      </c>
      <c r="L127" t="s">
        <v>28</v>
      </c>
      <c r="M127" s="1">
        <v>44148</v>
      </c>
      <c r="N127" t="s">
        <v>41</v>
      </c>
      <c r="O127" t="s">
        <v>30</v>
      </c>
      <c r="P127">
        <v>20</v>
      </c>
      <c r="Q127" t="s">
        <v>68</v>
      </c>
      <c r="R127" t="s">
        <v>44</v>
      </c>
      <c r="S127">
        <v>10</v>
      </c>
      <c r="T127">
        <v>2020</v>
      </c>
      <c r="U127" t="s">
        <v>110</v>
      </c>
    </row>
    <row r="128" spans="1:21" x14ac:dyDescent="0.3">
      <c r="A128" t="s">
        <v>450</v>
      </c>
      <c r="B128">
        <v>40</v>
      </c>
      <c r="C128" t="s">
        <v>22</v>
      </c>
      <c r="D128" t="s">
        <v>56</v>
      </c>
      <c r="E128" t="s">
        <v>36</v>
      </c>
      <c r="F128" s="1">
        <v>43704</v>
      </c>
      <c r="G128" t="s">
        <v>451</v>
      </c>
      <c r="H128" t="s">
        <v>452</v>
      </c>
      <c r="I128" t="s">
        <v>51</v>
      </c>
      <c r="J128">
        <v>9585.9500000000007</v>
      </c>
      <c r="K128">
        <v>424</v>
      </c>
      <c r="L128" t="s">
        <v>28</v>
      </c>
      <c r="M128" s="1">
        <v>43714</v>
      </c>
      <c r="N128" t="s">
        <v>99</v>
      </c>
      <c r="O128" t="s">
        <v>42</v>
      </c>
      <c r="P128">
        <v>10</v>
      </c>
      <c r="Q128" t="s">
        <v>68</v>
      </c>
      <c r="R128" t="s">
        <v>100</v>
      </c>
      <c r="S128">
        <v>8</v>
      </c>
      <c r="T128">
        <v>2019</v>
      </c>
      <c r="U128" t="s">
        <v>45</v>
      </c>
    </row>
    <row r="129" spans="1:21" x14ac:dyDescent="0.3">
      <c r="A129" t="s">
        <v>453</v>
      </c>
      <c r="B129">
        <v>57</v>
      </c>
      <c r="C129" t="s">
        <v>22</v>
      </c>
      <c r="D129" t="s">
        <v>76</v>
      </c>
      <c r="E129" t="s">
        <v>36</v>
      </c>
      <c r="F129" s="1">
        <v>44530</v>
      </c>
      <c r="G129" t="s">
        <v>454</v>
      </c>
      <c r="H129" t="s">
        <v>455</v>
      </c>
      <c r="I129" t="s">
        <v>39</v>
      </c>
      <c r="J129">
        <v>40693.35</v>
      </c>
      <c r="K129">
        <v>430</v>
      </c>
      <c r="L129" t="s">
        <v>40</v>
      </c>
      <c r="M129" s="1">
        <v>44539</v>
      </c>
      <c r="N129" t="s">
        <v>52</v>
      </c>
      <c r="O129" t="s">
        <v>61</v>
      </c>
      <c r="P129">
        <v>9</v>
      </c>
      <c r="Q129" t="s">
        <v>43</v>
      </c>
      <c r="R129" t="s">
        <v>44</v>
      </c>
      <c r="S129">
        <v>11</v>
      </c>
      <c r="T129">
        <v>2021</v>
      </c>
      <c r="U129" t="s">
        <v>62</v>
      </c>
    </row>
    <row r="130" spans="1:21" x14ac:dyDescent="0.3">
      <c r="A130" t="s">
        <v>456</v>
      </c>
      <c r="B130">
        <v>82</v>
      </c>
      <c r="C130" t="s">
        <v>22</v>
      </c>
      <c r="D130" t="s">
        <v>64</v>
      </c>
      <c r="E130" t="s">
        <v>36</v>
      </c>
      <c r="F130" s="1">
        <v>45214</v>
      </c>
      <c r="G130" t="s">
        <v>457</v>
      </c>
      <c r="H130" t="s">
        <v>458</v>
      </c>
      <c r="I130" t="s">
        <v>73</v>
      </c>
      <c r="J130">
        <v>16399.27</v>
      </c>
      <c r="K130">
        <v>133</v>
      </c>
      <c r="L130" t="s">
        <v>40</v>
      </c>
      <c r="M130" s="1">
        <v>45238</v>
      </c>
      <c r="N130" t="s">
        <v>67</v>
      </c>
      <c r="O130" t="s">
        <v>61</v>
      </c>
      <c r="P130">
        <v>24</v>
      </c>
      <c r="Q130" t="s">
        <v>53</v>
      </c>
      <c r="R130" t="s">
        <v>32</v>
      </c>
      <c r="S130">
        <v>10</v>
      </c>
      <c r="T130">
        <v>2023</v>
      </c>
      <c r="U130" t="s">
        <v>110</v>
      </c>
    </row>
    <row r="131" spans="1:21" x14ac:dyDescent="0.3">
      <c r="A131" t="s">
        <v>459</v>
      </c>
      <c r="B131">
        <v>20</v>
      </c>
      <c r="C131" t="s">
        <v>22</v>
      </c>
      <c r="D131" t="s">
        <v>64</v>
      </c>
      <c r="E131" t="s">
        <v>57</v>
      </c>
      <c r="F131" s="1">
        <v>45368</v>
      </c>
      <c r="G131" t="s">
        <v>460</v>
      </c>
      <c r="H131" t="s">
        <v>461</v>
      </c>
      <c r="I131" t="s">
        <v>27</v>
      </c>
      <c r="J131">
        <v>44939.57</v>
      </c>
      <c r="K131">
        <v>430</v>
      </c>
      <c r="L131" t="s">
        <v>40</v>
      </c>
      <c r="M131" s="1">
        <v>45379</v>
      </c>
      <c r="N131" t="s">
        <v>41</v>
      </c>
      <c r="O131" t="s">
        <v>42</v>
      </c>
      <c r="P131">
        <v>11</v>
      </c>
      <c r="Q131" t="s">
        <v>31</v>
      </c>
      <c r="R131" t="s">
        <v>44</v>
      </c>
      <c r="S131">
        <v>3</v>
      </c>
      <c r="T131">
        <v>2024</v>
      </c>
      <c r="U131" t="s">
        <v>122</v>
      </c>
    </row>
    <row r="132" spans="1:21" x14ac:dyDescent="0.3">
      <c r="A132" t="s">
        <v>462</v>
      </c>
      <c r="B132">
        <v>20</v>
      </c>
      <c r="C132" t="s">
        <v>22</v>
      </c>
      <c r="D132" t="s">
        <v>127</v>
      </c>
      <c r="E132" t="s">
        <v>96</v>
      </c>
      <c r="F132" s="1">
        <v>43751</v>
      </c>
      <c r="G132" t="s">
        <v>463</v>
      </c>
      <c r="H132" t="s">
        <v>464</v>
      </c>
      <c r="I132" t="s">
        <v>27</v>
      </c>
      <c r="J132">
        <v>10663.91</v>
      </c>
      <c r="K132">
        <v>104</v>
      </c>
      <c r="L132" t="s">
        <v>40</v>
      </c>
      <c r="M132" s="1">
        <v>43754</v>
      </c>
      <c r="N132" t="s">
        <v>52</v>
      </c>
      <c r="O132" t="s">
        <v>30</v>
      </c>
      <c r="P132">
        <v>3</v>
      </c>
      <c r="Q132" t="s">
        <v>31</v>
      </c>
      <c r="R132" t="s">
        <v>32</v>
      </c>
      <c r="S132">
        <v>10</v>
      </c>
      <c r="T132">
        <v>2019</v>
      </c>
      <c r="U132" t="s">
        <v>110</v>
      </c>
    </row>
    <row r="133" spans="1:21" x14ac:dyDescent="0.3">
      <c r="A133" t="s">
        <v>465</v>
      </c>
      <c r="B133">
        <v>19</v>
      </c>
      <c r="C133" t="s">
        <v>47</v>
      </c>
      <c r="D133" t="s">
        <v>48</v>
      </c>
      <c r="E133" t="s">
        <v>96</v>
      </c>
      <c r="F133" s="1">
        <v>43892</v>
      </c>
      <c r="G133" t="s">
        <v>466</v>
      </c>
      <c r="H133" t="s">
        <v>467</v>
      </c>
      <c r="I133" t="s">
        <v>82</v>
      </c>
      <c r="J133">
        <v>22564.79</v>
      </c>
      <c r="K133">
        <v>408</v>
      </c>
      <c r="L133" t="s">
        <v>60</v>
      </c>
      <c r="M133" s="1">
        <v>43897</v>
      </c>
      <c r="N133" t="s">
        <v>29</v>
      </c>
      <c r="O133" t="s">
        <v>30</v>
      </c>
      <c r="P133">
        <v>5</v>
      </c>
      <c r="Q133" t="s">
        <v>31</v>
      </c>
      <c r="R133" t="s">
        <v>32</v>
      </c>
      <c r="S133">
        <v>3</v>
      </c>
      <c r="T133">
        <v>2020</v>
      </c>
      <c r="U133" t="s">
        <v>122</v>
      </c>
    </row>
    <row r="134" spans="1:21" x14ac:dyDescent="0.3">
      <c r="A134" t="s">
        <v>468</v>
      </c>
      <c r="B134">
        <v>32</v>
      </c>
      <c r="C134" t="s">
        <v>47</v>
      </c>
      <c r="D134" t="s">
        <v>76</v>
      </c>
      <c r="E134" t="s">
        <v>24</v>
      </c>
      <c r="F134" s="1">
        <v>43774</v>
      </c>
      <c r="G134" t="s">
        <v>469</v>
      </c>
      <c r="H134" t="s">
        <v>470</v>
      </c>
      <c r="I134" t="s">
        <v>51</v>
      </c>
      <c r="J134">
        <v>-502.51</v>
      </c>
      <c r="K134">
        <v>376</v>
      </c>
      <c r="L134" t="s">
        <v>28</v>
      </c>
      <c r="M134" s="1">
        <v>43792</v>
      </c>
      <c r="N134" t="s">
        <v>67</v>
      </c>
      <c r="O134" t="s">
        <v>30</v>
      </c>
      <c r="P134">
        <v>18</v>
      </c>
      <c r="Q134" t="s">
        <v>31</v>
      </c>
      <c r="R134" t="s">
        <v>100</v>
      </c>
      <c r="S134">
        <v>11</v>
      </c>
      <c r="T134">
        <v>2019</v>
      </c>
      <c r="U134" t="s">
        <v>62</v>
      </c>
    </row>
    <row r="135" spans="1:21" x14ac:dyDescent="0.3">
      <c r="A135" t="s">
        <v>471</v>
      </c>
      <c r="B135">
        <v>55</v>
      </c>
      <c r="C135" t="s">
        <v>22</v>
      </c>
      <c r="D135" t="s">
        <v>23</v>
      </c>
      <c r="E135" t="s">
        <v>57</v>
      </c>
      <c r="F135" s="1">
        <v>44234</v>
      </c>
      <c r="G135" t="s">
        <v>472</v>
      </c>
      <c r="H135" t="s">
        <v>473</v>
      </c>
      <c r="I135" t="s">
        <v>82</v>
      </c>
      <c r="J135">
        <v>34758.26</v>
      </c>
      <c r="K135">
        <v>331</v>
      </c>
      <c r="L135" t="s">
        <v>40</v>
      </c>
      <c r="M135" s="1">
        <v>44260</v>
      </c>
      <c r="N135" t="s">
        <v>52</v>
      </c>
      <c r="O135" t="s">
        <v>30</v>
      </c>
      <c r="P135">
        <v>26</v>
      </c>
      <c r="Q135" t="s">
        <v>68</v>
      </c>
      <c r="R135" t="s">
        <v>44</v>
      </c>
      <c r="S135">
        <v>2</v>
      </c>
      <c r="T135">
        <v>2021</v>
      </c>
      <c r="U135" t="s">
        <v>278</v>
      </c>
    </row>
    <row r="136" spans="1:21" x14ac:dyDescent="0.3">
      <c r="A136" t="s">
        <v>474</v>
      </c>
      <c r="B136">
        <v>81</v>
      </c>
      <c r="C136" t="s">
        <v>22</v>
      </c>
      <c r="D136" t="s">
        <v>127</v>
      </c>
      <c r="E136" t="s">
        <v>96</v>
      </c>
      <c r="F136" s="1">
        <v>44494</v>
      </c>
      <c r="G136" t="s">
        <v>475</v>
      </c>
      <c r="H136" t="s">
        <v>476</v>
      </c>
      <c r="I136" t="s">
        <v>73</v>
      </c>
      <c r="J136">
        <v>46377.87</v>
      </c>
      <c r="K136">
        <v>275</v>
      </c>
      <c r="L136" t="s">
        <v>28</v>
      </c>
      <c r="M136" s="1">
        <v>44522</v>
      </c>
      <c r="N136" t="s">
        <v>99</v>
      </c>
      <c r="O136" t="s">
        <v>30</v>
      </c>
      <c r="P136">
        <v>28</v>
      </c>
      <c r="Q136" t="s">
        <v>53</v>
      </c>
      <c r="R136" t="s">
        <v>44</v>
      </c>
      <c r="S136">
        <v>10</v>
      </c>
      <c r="T136">
        <v>2021</v>
      </c>
      <c r="U136" t="s">
        <v>110</v>
      </c>
    </row>
    <row r="137" spans="1:21" x14ac:dyDescent="0.3">
      <c r="A137" t="s">
        <v>477</v>
      </c>
      <c r="B137">
        <v>26</v>
      </c>
      <c r="C137" t="s">
        <v>22</v>
      </c>
      <c r="D137" t="s">
        <v>149</v>
      </c>
      <c r="E137" t="s">
        <v>96</v>
      </c>
      <c r="F137" s="1">
        <v>44766</v>
      </c>
      <c r="G137" t="s">
        <v>478</v>
      </c>
      <c r="H137" t="s">
        <v>479</v>
      </c>
      <c r="I137" t="s">
        <v>27</v>
      </c>
      <c r="J137">
        <v>7555.77</v>
      </c>
      <c r="K137">
        <v>425</v>
      </c>
      <c r="L137" t="s">
        <v>60</v>
      </c>
      <c r="M137" s="1">
        <v>44773</v>
      </c>
      <c r="N137" t="s">
        <v>29</v>
      </c>
      <c r="O137" t="s">
        <v>61</v>
      </c>
      <c r="P137">
        <v>7</v>
      </c>
      <c r="Q137" t="s">
        <v>31</v>
      </c>
      <c r="R137" t="s">
        <v>100</v>
      </c>
      <c r="S137">
        <v>7</v>
      </c>
      <c r="T137">
        <v>2022</v>
      </c>
      <c r="U137" t="s">
        <v>86</v>
      </c>
    </row>
    <row r="138" spans="1:21" x14ac:dyDescent="0.3">
      <c r="A138" t="s">
        <v>480</v>
      </c>
      <c r="B138">
        <v>54</v>
      </c>
      <c r="C138" t="s">
        <v>47</v>
      </c>
      <c r="D138" t="s">
        <v>64</v>
      </c>
      <c r="E138" t="s">
        <v>24</v>
      </c>
      <c r="F138" s="1">
        <v>43894</v>
      </c>
      <c r="G138" t="s">
        <v>481</v>
      </c>
      <c r="H138" t="s">
        <v>482</v>
      </c>
      <c r="I138" t="s">
        <v>73</v>
      </c>
      <c r="J138">
        <v>14299.99</v>
      </c>
      <c r="K138">
        <v>480</v>
      </c>
      <c r="L138" t="s">
        <v>40</v>
      </c>
      <c r="M138" s="1">
        <v>43895</v>
      </c>
      <c r="N138" t="s">
        <v>99</v>
      </c>
      <c r="O138" t="s">
        <v>61</v>
      </c>
      <c r="P138">
        <v>1</v>
      </c>
      <c r="Q138" t="s">
        <v>68</v>
      </c>
      <c r="R138" t="s">
        <v>32</v>
      </c>
      <c r="S138">
        <v>3</v>
      </c>
      <c r="T138">
        <v>2020</v>
      </c>
      <c r="U138" t="s">
        <v>122</v>
      </c>
    </row>
    <row r="139" spans="1:21" x14ac:dyDescent="0.3">
      <c r="A139" t="s">
        <v>483</v>
      </c>
      <c r="B139">
        <v>57</v>
      </c>
      <c r="C139" t="s">
        <v>22</v>
      </c>
      <c r="D139" t="s">
        <v>23</v>
      </c>
      <c r="E139" t="s">
        <v>115</v>
      </c>
      <c r="F139" s="1">
        <v>44409</v>
      </c>
      <c r="G139" t="s">
        <v>484</v>
      </c>
      <c r="H139" t="s">
        <v>485</v>
      </c>
      <c r="I139" t="s">
        <v>82</v>
      </c>
      <c r="J139">
        <v>46429.51</v>
      </c>
      <c r="K139">
        <v>233</v>
      </c>
      <c r="L139" t="s">
        <v>60</v>
      </c>
      <c r="M139" s="1">
        <v>44427</v>
      </c>
      <c r="N139" t="s">
        <v>29</v>
      </c>
      <c r="O139" t="s">
        <v>42</v>
      </c>
      <c r="P139">
        <v>18</v>
      </c>
      <c r="Q139" t="s">
        <v>43</v>
      </c>
      <c r="R139" t="s">
        <v>44</v>
      </c>
      <c r="S139">
        <v>8</v>
      </c>
      <c r="T139">
        <v>2021</v>
      </c>
      <c r="U139" t="s">
        <v>45</v>
      </c>
    </row>
    <row r="140" spans="1:21" x14ac:dyDescent="0.3">
      <c r="A140" t="s">
        <v>486</v>
      </c>
      <c r="B140">
        <v>38</v>
      </c>
      <c r="C140" t="s">
        <v>47</v>
      </c>
      <c r="D140" t="s">
        <v>64</v>
      </c>
      <c r="E140" t="s">
        <v>70</v>
      </c>
      <c r="F140" s="1">
        <v>43854</v>
      </c>
      <c r="G140" t="s">
        <v>487</v>
      </c>
      <c r="H140" t="s">
        <v>488</v>
      </c>
      <c r="I140" t="s">
        <v>39</v>
      </c>
      <c r="J140">
        <v>17978.95</v>
      </c>
      <c r="K140">
        <v>384</v>
      </c>
      <c r="L140" t="s">
        <v>60</v>
      </c>
      <c r="M140" s="1">
        <v>43873</v>
      </c>
      <c r="N140" t="s">
        <v>41</v>
      </c>
      <c r="O140" t="s">
        <v>61</v>
      </c>
      <c r="P140">
        <v>19</v>
      </c>
      <c r="Q140" t="s">
        <v>68</v>
      </c>
      <c r="R140" t="s">
        <v>32</v>
      </c>
      <c r="S140">
        <v>1</v>
      </c>
      <c r="T140">
        <v>2020</v>
      </c>
      <c r="U140" t="s">
        <v>33</v>
      </c>
    </row>
    <row r="141" spans="1:21" x14ac:dyDescent="0.3">
      <c r="A141" t="s">
        <v>489</v>
      </c>
      <c r="B141">
        <v>54</v>
      </c>
      <c r="C141" t="s">
        <v>22</v>
      </c>
      <c r="D141" t="s">
        <v>56</v>
      </c>
      <c r="E141" t="s">
        <v>36</v>
      </c>
      <c r="F141" s="1">
        <v>44407</v>
      </c>
      <c r="G141" t="s">
        <v>490</v>
      </c>
      <c r="H141" t="s">
        <v>491</v>
      </c>
      <c r="I141" t="s">
        <v>39</v>
      </c>
      <c r="J141">
        <v>32629.07</v>
      </c>
      <c r="K141">
        <v>380</v>
      </c>
      <c r="L141" t="s">
        <v>60</v>
      </c>
      <c r="M141" s="1">
        <v>44421</v>
      </c>
      <c r="N141" t="s">
        <v>29</v>
      </c>
      <c r="O141" t="s">
        <v>30</v>
      </c>
      <c r="P141">
        <v>14</v>
      </c>
      <c r="Q141" t="s">
        <v>68</v>
      </c>
      <c r="R141" t="s">
        <v>44</v>
      </c>
      <c r="S141">
        <v>7</v>
      </c>
      <c r="T141">
        <v>2021</v>
      </c>
      <c r="U141" t="s">
        <v>86</v>
      </c>
    </row>
    <row r="142" spans="1:21" x14ac:dyDescent="0.3">
      <c r="A142" t="s">
        <v>492</v>
      </c>
      <c r="B142">
        <v>42</v>
      </c>
      <c r="C142" t="s">
        <v>22</v>
      </c>
      <c r="D142" t="s">
        <v>35</v>
      </c>
      <c r="E142" t="s">
        <v>57</v>
      </c>
      <c r="F142" s="1">
        <v>45295</v>
      </c>
      <c r="G142" t="s">
        <v>493</v>
      </c>
      <c r="H142" t="s">
        <v>494</v>
      </c>
      <c r="I142" t="s">
        <v>39</v>
      </c>
      <c r="J142">
        <v>22356.23</v>
      </c>
      <c r="K142">
        <v>310</v>
      </c>
      <c r="L142" t="s">
        <v>28</v>
      </c>
      <c r="M142" s="1">
        <v>45325</v>
      </c>
      <c r="N142" t="s">
        <v>52</v>
      </c>
      <c r="O142" t="s">
        <v>42</v>
      </c>
      <c r="P142">
        <v>30</v>
      </c>
      <c r="Q142" t="s">
        <v>68</v>
      </c>
      <c r="R142" t="s">
        <v>32</v>
      </c>
      <c r="S142">
        <v>1</v>
      </c>
      <c r="T142">
        <v>2024</v>
      </c>
      <c r="U142" t="s">
        <v>33</v>
      </c>
    </row>
    <row r="143" spans="1:21" x14ac:dyDescent="0.3">
      <c r="A143" t="s">
        <v>495</v>
      </c>
      <c r="B143">
        <v>20</v>
      </c>
      <c r="C143" t="s">
        <v>22</v>
      </c>
      <c r="D143" t="s">
        <v>149</v>
      </c>
      <c r="E143" t="s">
        <v>57</v>
      </c>
      <c r="F143" s="1">
        <v>45296</v>
      </c>
      <c r="G143" t="s">
        <v>496</v>
      </c>
      <c r="H143" t="s">
        <v>497</v>
      </c>
      <c r="I143" t="s">
        <v>39</v>
      </c>
      <c r="J143">
        <v>48995.98</v>
      </c>
      <c r="K143">
        <v>406</v>
      </c>
      <c r="L143" t="s">
        <v>60</v>
      </c>
      <c r="M143" s="1">
        <v>45326</v>
      </c>
      <c r="N143" t="s">
        <v>99</v>
      </c>
      <c r="O143" t="s">
        <v>30</v>
      </c>
      <c r="P143">
        <v>30</v>
      </c>
      <c r="Q143" t="s">
        <v>31</v>
      </c>
      <c r="R143" t="s">
        <v>44</v>
      </c>
      <c r="S143">
        <v>1</v>
      </c>
      <c r="T143">
        <v>2024</v>
      </c>
      <c r="U143" t="s">
        <v>33</v>
      </c>
    </row>
    <row r="144" spans="1:21" x14ac:dyDescent="0.3">
      <c r="A144" t="s">
        <v>498</v>
      </c>
      <c r="B144">
        <v>44</v>
      </c>
      <c r="C144" t="s">
        <v>47</v>
      </c>
      <c r="D144" t="s">
        <v>149</v>
      </c>
      <c r="E144" t="s">
        <v>96</v>
      </c>
      <c r="F144" s="1">
        <v>44054</v>
      </c>
      <c r="G144" t="s">
        <v>499</v>
      </c>
      <c r="H144" t="s">
        <v>500</v>
      </c>
      <c r="I144" t="s">
        <v>73</v>
      </c>
      <c r="J144">
        <v>4532.4799999999996</v>
      </c>
      <c r="K144">
        <v>213</v>
      </c>
      <c r="L144" t="s">
        <v>40</v>
      </c>
      <c r="M144" s="1">
        <v>44078</v>
      </c>
      <c r="N144" t="s">
        <v>99</v>
      </c>
      <c r="O144" t="s">
        <v>42</v>
      </c>
      <c r="P144">
        <v>24</v>
      </c>
      <c r="Q144" t="s">
        <v>68</v>
      </c>
      <c r="R144" t="s">
        <v>100</v>
      </c>
      <c r="S144">
        <v>8</v>
      </c>
      <c r="T144">
        <v>2020</v>
      </c>
      <c r="U144" t="s">
        <v>45</v>
      </c>
    </row>
    <row r="145" spans="1:21" x14ac:dyDescent="0.3">
      <c r="A145" t="s">
        <v>501</v>
      </c>
      <c r="B145">
        <v>54</v>
      </c>
      <c r="C145" t="s">
        <v>22</v>
      </c>
      <c r="D145" t="s">
        <v>127</v>
      </c>
      <c r="E145" t="s">
        <v>57</v>
      </c>
      <c r="F145" s="1">
        <v>44729</v>
      </c>
      <c r="G145" t="s">
        <v>502</v>
      </c>
      <c r="H145" t="s">
        <v>503</v>
      </c>
      <c r="I145" t="s">
        <v>39</v>
      </c>
      <c r="J145">
        <v>35521.58</v>
      </c>
      <c r="K145">
        <v>130</v>
      </c>
      <c r="L145" t="s">
        <v>60</v>
      </c>
      <c r="M145" s="1">
        <v>44736</v>
      </c>
      <c r="N145" t="s">
        <v>29</v>
      </c>
      <c r="O145" t="s">
        <v>30</v>
      </c>
      <c r="P145">
        <v>7</v>
      </c>
      <c r="Q145" t="s">
        <v>68</v>
      </c>
      <c r="R145" t="s">
        <v>44</v>
      </c>
      <c r="S145">
        <v>6</v>
      </c>
      <c r="T145">
        <v>2022</v>
      </c>
      <c r="U145" t="s">
        <v>118</v>
      </c>
    </row>
    <row r="146" spans="1:21" x14ac:dyDescent="0.3">
      <c r="A146" t="s">
        <v>504</v>
      </c>
      <c r="B146">
        <v>21</v>
      </c>
      <c r="C146" t="s">
        <v>47</v>
      </c>
      <c r="D146" t="s">
        <v>76</v>
      </c>
      <c r="E146" t="s">
        <v>115</v>
      </c>
      <c r="F146" s="1">
        <v>44653</v>
      </c>
      <c r="G146" t="s">
        <v>505</v>
      </c>
      <c r="H146" t="s">
        <v>506</v>
      </c>
      <c r="I146" t="s">
        <v>51</v>
      </c>
      <c r="J146">
        <v>1589.5</v>
      </c>
      <c r="K146">
        <v>244</v>
      </c>
      <c r="L146" t="s">
        <v>40</v>
      </c>
      <c r="M146" s="1">
        <v>44660</v>
      </c>
      <c r="N146" t="s">
        <v>52</v>
      </c>
      <c r="O146" t="s">
        <v>42</v>
      </c>
      <c r="P146">
        <v>7</v>
      </c>
      <c r="Q146" t="s">
        <v>31</v>
      </c>
      <c r="R146" t="s">
        <v>100</v>
      </c>
      <c r="S146">
        <v>4</v>
      </c>
      <c r="T146">
        <v>2022</v>
      </c>
      <c r="U146" t="s">
        <v>94</v>
      </c>
    </row>
    <row r="147" spans="1:21" x14ac:dyDescent="0.3">
      <c r="A147" t="s">
        <v>507</v>
      </c>
      <c r="B147">
        <v>45</v>
      </c>
      <c r="C147" t="s">
        <v>47</v>
      </c>
      <c r="D147" t="s">
        <v>64</v>
      </c>
      <c r="E147" t="s">
        <v>57</v>
      </c>
      <c r="F147" s="1">
        <v>43985</v>
      </c>
      <c r="G147" t="s">
        <v>508</v>
      </c>
      <c r="H147" t="s">
        <v>509</v>
      </c>
      <c r="I147" t="s">
        <v>39</v>
      </c>
      <c r="J147">
        <v>22950.65</v>
      </c>
      <c r="K147">
        <v>233</v>
      </c>
      <c r="L147" t="s">
        <v>60</v>
      </c>
      <c r="M147" s="1">
        <v>44004</v>
      </c>
      <c r="N147" t="s">
        <v>41</v>
      </c>
      <c r="O147" t="s">
        <v>61</v>
      </c>
      <c r="P147">
        <v>19</v>
      </c>
      <c r="Q147" t="s">
        <v>68</v>
      </c>
      <c r="R147" t="s">
        <v>32</v>
      </c>
      <c r="S147">
        <v>6</v>
      </c>
      <c r="T147">
        <v>2020</v>
      </c>
      <c r="U147" t="s">
        <v>118</v>
      </c>
    </row>
    <row r="148" spans="1:21" x14ac:dyDescent="0.3">
      <c r="A148" t="s">
        <v>510</v>
      </c>
      <c r="B148">
        <v>68</v>
      </c>
      <c r="C148" t="s">
        <v>47</v>
      </c>
      <c r="D148" t="s">
        <v>127</v>
      </c>
      <c r="E148" t="s">
        <v>115</v>
      </c>
      <c r="F148" s="1">
        <v>43693</v>
      </c>
      <c r="G148" t="s">
        <v>511</v>
      </c>
      <c r="H148" t="s">
        <v>512</v>
      </c>
      <c r="I148" t="s">
        <v>51</v>
      </c>
      <c r="J148">
        <v>2678.95</v>
      </c>
      <c r="K148">
        <v>427</v>
      </c>
      <c r="L148" t="s">
        <v>28</v>
      </c>
      <c r="M148" s="1">
        <v>43698</v>
      </c>
      <c r="N148" t="s">
        <v>29</v>
      </c>
      <c r="O148" t="s">
        <v>61</v>
      </c>
      <c r="P148">
        <v>5</v>
      </c>
      <c r="Q148" t="s">
        <v>43</v>
      </c>
      <c r="R148" t="s">
        <v>100</v>
      </c>
      <c r="S148">
        <v>8</v>
      </c>
      <c r="T148">
        <v>2019</v>
      </c>
      <c r="U148" t="s">
        <v>45</v>
      </c>
    </row>
    <row r="149" spans="1:21" x14ac:dyDescent="0.3">
      <c r="A149" t="s">
        <v>513</v>
      </c>
      <c r="B149">
        <v>27</v>
      </c>
      <c r="C149" t="s">
        <v>22</v>
      </c>
      <c r="D149" t="s">
        <v>35</v>
      </c>
      <c r="E149" t="s">
        <v>96</v>
      </c>
      <c r="F149" s="1">
        <v>45344</v>
      </c>
      <c r="G149" t="s">
        <v>514</v>
      </c>
      <c r="H149" t="s">
        <v>515</v>
      </c>
      <c r="I149" t="s">
        <v>73</v>
      </c>
      <c r="J149">
        <v>39615.599999999999</v>
      </c>
      <c r="K149">
        <v>500</v>
      </c>
      <c r="L149" t="s">
        <v>28</v>
      </c>
      <c r="M149" s="1">
        <v>45346</v>
      </c>
      <c r="N149" t="s">
        <v>67</v>
      </c>
      <c r="O149" t="s">
        <v>42</v>
      </c>
      <c r="P149">
        <v>2</v>
      </c>
      <c r="Q149" t="s">
        <v>31</v>
      </c>
      <c r="R149" t="s">
        <v>44</v>
      </c>
      <c r="S149">
        <v>2</v>
      </c>
      <c r="T149">
        <v>2024</v>
      </c>
      <c r="U149" t="s">
        <v>278</v>
      </c>
    </row>
    <row r="150" spans="1:21" x14ac:dyDescent="0.3">
      <c r="A150" t="s">
        <v>516</v>
      </c>
      <c r="B150">
        <v>42</v>
      </c>
      <c r="C150" t="s">
        <v>22</v>
      </c>
      <c r="D150" t="s">
        <v>76</v>
      </c>
      <c r="E150" t="s">
        <v>70</v>
      </c>
      <c r="F150" s="1">
        <v>44322</v>
      </c>
      <c r="G150" t="s">
        <v>517</v>
      </c>
      <c r="H150" t="s">
        <v>518</v>
      </c>
      <c r="I150" t="s">
        <v>39</v>
      </c>
      <c r="J150">
        <v>13355.78</v>
      </c>
      <c r="K150">
        <v>451</v>
      </c>
      <c r="L150" t="s">
        <v>60</v>
      </c>
      <c r="M150" s="1">
        <v>44345</v>
      </c>
      <c r="N150" t="s">
        <v>41</v>
      </c>
      <c r="O150" t="s">
        <v>42</v>
      </c>
      <c r="P150">
        <v>23</v>
      </c>
      <c r="Q150" t="s">
        <v>68</v>
      </c>
      <c r="R150" t="s">
        <v>32</v>
      </c>
      <c r="S150">
        <v>5</v>
      </c>
      <c r="T150">
        <v>2021</v>
      </c>
      <c r="U150" t="s">
        <v>90</v>
      </c>
    </row>
    <row r="151" spans="1:21" x14ac:dyDescent="0.3">
      <c r="A151" t="s">
        <v>519</v>
      </c>
      <c r="B151">
        <v>27</v>
      </c>
      <c r="C151" t="s">
        <v>47</v>
      </c>
      <c r="D151" t="s">
        <v>23</v>
      </c>
      <c r="E151" t="s">
        <v>70</v>
      </c>
      <c r="F151" s="1">
        <v>44496</v>
      </c>
      <c r="G151" t="s">
        <v>520</v>
      </c>
      <c r="H151" t="s">
        <v>521</v>
      </c>
      <c r="I151" t="s">
        <v>51</v>
      </c>
      <c r="J151">
        <v>32561.53</v>
      </c>
      <c r="K151">
        <v>485</v>
      </c>
      <c r="L151" t="s">
        <v>60</v>
      </c>
      <c r="M151" s="1">
        <v>44504</v>
      </c>
      <c r="N151" t="s">
        <v>41</v>
      </c>
      <c r="O151" t="s">
        <v>42</v>
      </c>
      <c r="P151">
        <v>8</v>
      </c>
      <c r="Q151" t="s">
        <v>31</v>
      </c>
      <c r="R151" t="s">
        <v>44</v>
      </c>
      <c r="S151">
        <v>10</v>
      </c>
      <c r="T151">
        <v>2021</v>
      </c>
      <c r="U151" t="s">
        <v>110</v>
      </c>
    </row>
    <row r="152" spans="1:21" x14ac:dyDescent="0.3">
      <c r="A152" t="s">
        <v>522</v>
      </c>
      <c r="B152">
        <v>80</v>
      </c>
      <c r="C152" t="s">
        <v>22</v>
      </c>
      <c r="D152" t="s">
        <v>127</v>
      </c>
      <c r="E152" t="s">
        <v>70</v>
      </c>
      <c r="F152" s="1">
        <v>44075</v>
      </c>
      <c r="G152" t="s">
        <v>523</v>
      </c>
      <c r="H152" t="s">
        <v>524</v>
      </c>
      <c r="I152" t="s">
        <v>39</v>
      </c>
      <c r="J152">
        <v>29221.34</v>
      </c>
      <c r="K152">
        <v>208</v>
      </c>
      <c r="L152" t="s">
        <v>40</v>
      </c>
      <c r="M152" s="1">
        <v>44091</v>
      </c>
      <c r="N152" t="s">
        <v>29</v>
      </c>
      <c r="O152" t="s">
        <v>42</v>
      </c>
      <c r="P152">
        <v>16</v>
      </c>
      <c r="Q152" t="s">
        <v>53</v>
      </c>
      <c r="R152" t="s">
        <v>32</v>
      </c>
      <c r="S152">
        <v>9</v>
      </c>
      <c r="T152">
        <v>2020</v>
      </c>
      <c r="U152" t="s">
        <v>54</v>
      </c>
    </row>
    <row r="153" spans="1:21" x14ac:dyDescent="0.3">
      <c r="A153" t="s">
        <v>525</v>
      </c>
      <c r="B153">
        <v>21</v>
      </c>
      <c r="C153" t="s">
        <v>22</v>
      </c>
      <c r="D153" t="s">
        <v>56</v>
      </c>
      <c r="E153" t="s">
        <v>57</v>
      </c>
      <c r="F153" s="1">
        <v>44342</v>
      </c>
      <c r="G153" t="s">
        <v>526</v>
      </c>
      <c r="H153" t="s">
        <v>527</v>
      </c>
      <c r="I153" t="s">
        <v>39</v>
      </c>
      <c r="J153">
        <v>12880.65</v>
      </c>
      <c r="K153">
        <v>267</v>
      </c>
      <c r="L153" t="s">
        <v>28</v>
      </c>
      <c r="M153" s="1">
        <v>44369</v>
      </c>
      <c r="N153" t="s">
        <v>67</v>
      </c>
      <c r="O153" t="s">
        <v>30</v>
      </c>
      <c r="P153">
        <v>27</v>
      </c>
      <c r="Q153" t="s">
        <v>31</v>
      </c>
      <c r="R153" t="s">
        <v>32</v>
      </c>
      <c r="S153">
        <v>5</v>
      </c>
      <c r="T153">
        <v>2021</v>
      </c>
      <c r="U153" t="s">
        <v>90</v>
      </c>
    </row>
    <row r="154" spans="1:21" x14ac:dyDescent="0.3">
      <c r="A154" t="s">
        <v>528</v>
      </c>
      <c r="B154">
        <v>84</v>
      </c>
      <c r="C154" t="s">
        <v>47</v>
      </c>
      <c r="D154" t="s">
        <v>48</v>
      </c>
      <c r="E154" t="s">
        <v>36</v>
      </c>
      <c r="F154" s="1">
        <v>44734</v>
      </c>
      <c r="G154" t="s">
        <v>529</v>
      </c>
      <c r="H154" t="s">
        <v>530</v>
      </c>
      <c r="I154" t="s">
        <v>51</v>
      </c>
      <c r="J154">
        <v>15475.4</v>
      </c>
      <c r="K154">
        <v>154</v>
      </c>
      <c r="L154" t="s">
        <v>60</v>
      </c>
      <c r="M154" s="1">
        <v>44764</v>
      </c>
      <c r="N154" t="s">
        <v>41</v>
      </c>
      <c r="O154" t="s">
        <v>61</v>
      </c>
      <c r="P154">
        <v>30</v>
      </c>
      <c r="Q154" t="s">
        <v>53</v>
      </c>
      <c r="R154" t="s">
        <v>32</v>
      </c>
      <c r="S154">
        <v>6</v>
      </c>
      <c r="T154">
        <v>2022</v>
      </c>
      <c r="U154" t="s">
        <v>118</v>
      </c>
    </row>
    <row r="155" spans="1:21" x14ac:dyDescent="0.3">
      <c r="A155" t="s">
        <v>531</v>
      </c>
      <c r="B155">
        <v>67</v>
      </c>
      <c r="C155" t="s">
        <v>47</v>
      </c>
      <c r="D155" t="s">
        <v>149</v>
      </c>
      <c r="E155" t="s">
        <v>115</v>
      </c>
      <c r="F155" s="1">
        <v>45063</v>
      </c>
      <c r="G155" t="s">
        <v>532</v>
      </c>
      <c r="H155" t="s">
        <v>533</v>
      </c>
      <c r="I155" t="s">
        <v>39</v>
      </c>
      <c r="J155">
        <v>27309.439999999999</v>
      </c>
      <c r="K155">
        <v>293</v>
      </c>
      <c r="L155" t="s">
        <v>60</v>
      </c>
      <c r="M155" s="1">
        <v>45077</v>
      </c>
      <c r="N155" t="s">
        <v>52</v>
      </c>
      <c r="O155" t="s">
        <v>61</v>
      </c>
      <c r="P155">
        <v>14</v>
      </c>
      <c r="Q155" t="s">
        <v>43</v>
      </c>
      <c r="R155" t="s">
        <v>32</v>
      </c>
      <c r="S155">
        <v>5</v>
      </c>
      <c r="T155">
        <v>2023</v>
      </c>
      <c r="U155" t="s">
        <v>90</v>
      </c>
    </row>
    <row r="156" spans="1:21" x14ac:dyDescent="0.3">
      <c r="A156" t="s">
        <v>534</v>
      </c>
      <c r="B156">
        <v>66</v>
      </c>
      <c r="C156" t="s">
        <v>22</v>
      </c>
      <c r="D156" t="s">
        <v>64</v>
      </c>
      <c r="E156" t="s">
        <v>115</v>
      </c>
      <c r="F156" s="1">
        <v>44370</v>
      </c>
      <c r="G156" t="s">
        <v>535</v>
      </c>
      <c r="H156" t="s">
        <v>536</v>
      </c>
      <c r="I156" t="s">
        <v>39</v>
      </c>
      <c r="J156">
        <v>1897.89</v>
      </c>
      <c r="K156">
        <v>196</v>
      </c>
      <c r="L156" t="s">
        <v>60</v>
      </c>
      <c r="M156" s="1">
        <v>44386</v>
      </c>
      <c r="N156" t="s">
        <v>41</v>
      </c>
      <c r="O156" t="s">
        <v>61</v>
      </c>
      <c r="P156">
        <v>16</v>
      </c>
      <c r="Q156" t="s">
        <v>43</v>
      </c>
      <c r="R156" t="s">
        <v>100</v>
      </c>
      <c r="S156">
        <v>6</v>
      </c>
      <c r="T156">
        <v>2021</v>
      </c>
      <c r="U156" t="s">
        <v>118</v>
      </c>
    </row>
    <row r="157" spans="1:21" x14ac:dyDescent="0.3">
      <c r="A157" t="s">
        <v>537</v>
      </c>
      <c r="B157">
        <v>37</v>
      </c>
      <c r="C157" t="s">
        <v>47</v>
      </c>
      <c r="D157" t="s">
        <v>48</v>
      </c>
      <c r="E157" t="s">
        <v>24</v>
      </c>
      <c r="F157" s="1">
        <v>45247</v>
      </c>
      <c r="G157" t="s">
        <v>538</v>
      </c>
      <c r="H157" t="s">
        <v>539</v>
      </c>
      <c r="I157" t="s">
        <v>51</v>
      </c>
      <c r="J157">
        <v>31308.21</v>
      </c>
      <c r="K157">
        <v>466</v>
      </c>
      <c r="L157" t="s">
        <v>28</v>
      </c>
      <c r="M157" s="1">
        <v>45255</v>
      </c>
      <c r="N157" t="s">
        <v>67</v>
      </c>
      <c r="O157" t="s">
        <v>30</v>
      </c>
      <c r="P157">
        <v>8</v>
      </c>
      <c r="Q157" t="s">
        <v>68</v>
      </c>
      <c r="R157" t="s">
        <v>44</v>
      </c>
      <c r="S157">
        <v>11</v>
      </c>
      <c r="T157">
        <v>2023</v>
      </c>
      <c r="U157" t="s">
        <v>62</v>
      </c>
    </row>
    <row r="158" spans="1:21" x14ac:dyDescent="0.3">
      <c r="A158" t="s">
        <v>540</v>
      </c>
      <c r="B158">
        <v>30</v>
      </c>
      <c r="C158" t="s">
        <v>47</v>
      </c>
      <c r="D158" t="s">
        <v>48</v>
      </c>
      <c r="E158" t="s">
        <v>57</v>
      </c>
      <c r="F158" s="1">
        <v>44115</v>
      </c>
      <c r="G158" t="s">
        <v>541</v>
      </c>
      <c r="H158" t="s">
        <v>542</v>
      </c>
      <c r="I158" t="s">
        <v>39</v>
      </c>
      <c r="J158">
        <v>42792.24</v>
      </c>
      <c r="K158">
        <v>468</v>
      </c>
      <c r="L158" t="s">
        <v>60</v>
      </c>
      <c r="M158" s="1">
        <v>44125</v>
      </c>
      <c r="N158" t="s">
        <v>41</v>
      </c>
      <c r="O158" t="s">
        <v>61</v>
      </c>
      <c r="P158">
        <v>10</v>
      </c>
      <c r="Q158" t="s">
        <v>31</v>
      </c>
      <c r="R158" t="s">
        <v>44</v>
      </c>
      <c r="S158">
        <v>10</v>
      </c>
      <c r="T158">
        <v>2020</v>
      </c>
      <c r="U158" t="s">
        <v>110</v>
      </c>
    </row>
    <row r="159" spans="1:21" x14ac:dyDescent="0.3">
      <c r="A159" t="s">
        <v>543</v>
      </c>
      <c r="B159">
        <v>78</v>
      </c>
      <c r="C159" t="s">
        <v>22</v>
      </c>
      <c r="D159" t="s">
        <v>56</v>
      </c>
      <c r="E159" t="s">
        <v>57</v>
      </c>
      <c r="F159" s="1">
        <v>44418</v>
      </c>
      <c r="G159" t="s">
        <v>544</v>
      </c>
      <c r="H159" t="s">
        <v>545</v>
      </c>
      <c r="I159" t="s">
        <v>82</v>
      </c>
      <c r="J159">
        <v>14377.33</v>
      </c>
      <c r="K159">
        <v>114</v>
      </c>
      <c r="L159" t="s">
        <v>40</v>
      </c>
      <c r="M159" s="1">
        <v>44435</v>
      </c>
      <c r="N159" t="s">
        <v>67</v>
      </c>
      <c r="O159" t="s">
        <v>61</v>
      </c>
      <c r="P159">
        <v>17</v>
      </c>
      <c r="Q159" t="s">
        <v>53</v>
      </c>
      <c r="R159" t="s">
        <v>32</v>
      </c>
      <c r="S159">
        <v>8</v>
      </c>
      <c r="T159">
        <v>2021</v>
      </c>
      <c r="U159" t="s">
        <v>45</v>
      </c>
    </row>
    <row r="160" spans="1:21" x14ac:dyDescent="0.3">
      <c r="A160" t="s">
        <v>546</v>
      </c>
      <c r="B160">
        <v>39</v>
      </c>
      <c r="C160" t="s">
        <v>47</v>
      </c>
      <c r="D160" t="s">
        <v>35</v>
      </c>
      <c r="E160" t="s">
        <v>57</v>
      </c>
      <c r="F160" s="1">
        <v>45167</v>
      </c>
      <c r="G160" t="s">
        <v>547</v>
      </c>
      <c r="H160" t="s">
        <v>548</v>
      </c>
      <c r="I160" t="s">
        <v>73</v>
      </c>
      <c r="J160">
        <v>1150.8699999999999</v>
      </c>
      <c r="K160">
        <v>408</v>
      </c>
      <c r="L160" t="s">
        <v>28</v>
      </c>
      <c r="M160" s="1">
        <v>45176</v>
      </c>
      <c r="N160" t="s">
        <v>67</v>
      </c>
      <c r="O160" t="s">
        <v>61</v>
      </c>
      <c r="P160">
        <v>9</v>
      </c>
      <c r="Q160" t="s">
        <v>68</v>
      </c>
      <c r="R160" t="s">
        <v>100</v>
      </c>
      <c r="S160">
        <v>8</v>
      </c>
      <c r="T160">
        <v>2023</v>
      </c>
      <c r="U160" t="s">
        <v>45</v>
      </c>
    </row>
    <row r="161" spans="1:21" x14ac:dyDescent="0.3">
      <c r="A161" t="s">
        <v>549</v>
      </c>
      <c r="B161">
        <v>29</v>
      </c>
      <c r="C161" t="s">
        <v>22</v>
      </c>
      <c r="D161" t="s">
        <v>149</v>
      </c>
      <c r="E161" t="s">
        <v>70</v>
      </c>
      <c r="F161" s="1">
        <v>43888</v>
      </c>
      <c r="G161" t="s">
        <v>550</v>
      </c>
      <c r="H161" t="s">
        <v>551</v>
      </c>
      <c r="I161" t="s">
        <v>39</v>
      </c>
      <c r="J161">
        <v>41939.120000000003</v>
      </c>
      <c r="K161">
        <v>453</v>
      </c>
      <c r="L161" t="s">
        <v>60</v>
      </c>
      <c r="M161" s="1">
        <v>43916</v>
      </c>
      <c r="N161" t="s">
        <v>41</v>
      </c>
      <c r="O161" t="s">
        <v>30</v>
      </c>
      <c r="P161">
        <v>28</v>
      </c>
      <c r="Q161" t="s">
        <v>31</v>
      </c>
      <c r="R161" t="s">
        <v>44</v>
      </c>
      <c r="S161">
        <v>2</v>
      </c>
      <c r="T161">
        <v>2020</v>
      </c>
      <c r="U161" t="s">
        <v>278</v>
      </c>
    </row>
    <row r="162" spans="1:21" x14ac:dyDescent="0.3">
      <c r="A162" t="s">
        <v>552</v>
      </c>
      <c r="B162">
        <v>81</v>
      </c>
      <c r="C162" t="s">
        <v>47</v>
      </c>
      <c r="D162" t="s">
        <v>76</v>
      </c>
      <c r="E162" t="s">
        <v>24</v>
      </c>
      <c r="F162" s="1">
        <v>44384</v>
      </c>
      <c r="G162" t="s">
        <v>553</v>
      </c>
      <c r="H162" t="s">
        <v>554</v>
      </c>
      <c r="I162" t="s">
        <v>73</v>
      </c>
      <c r="J162">
        <v>41982.37</v>
      </c>
      <c r="K162">
        <v>261</v>
      </c>
      <c r="L162" t="s">
        <v>60</v>
      </c>
      <c r="M162" s="1">
        <v>44392</v>
      </c>
      <c r="N162" t="s">
        <v>52</v>
      </c>
      <c r="O162" t="s">
        <v>61</v>
      </c>
      <c r="P162">
        <v>8</v>
      </c>
      <c r="Q162" t="s">
        <v>53</v>
      </c>
      <c r="R162" t="s">
        <v>44</v>
      </c>
      <c r="S162">
        <v>7</v>
      </c>
      <c r="T162">
        <v>2021</v>
      </c>
      <c r="U162" t="s">
        <v>86</v>
      </c>
    </row>
    <row r="163" spans="1:21" x14ac:dyDescent="0.3">
      <c r="A163" t="s">
        <v>555</v>
      </c>
      <c r="B163">
        <v>66</v>
      </c>
      <c r="C163" t="s">
        <v>47</v>
      </c>
      <c r="D163" t="s">
        <v>76</v>
      </c>
      <c r="E163" t="s">
        <v>36</v>
      </c>
      <c r="F163" s="1">
        <v>44715</v>
      </c>
      <c r="G163" t="s">
        <v>556</v>
      </c>
      <c r="H163" t="s">
        <v>557</v>
      </c>
      <c r="I163" t="s">
        <v>82</v>
      </c>
      <c r="J163">
        <v>33861.019999999997</v>
      </c>
      <c r="K163">
        <v>115</v>
      </c>
      <c r="L163" t="s">
        <v>60</v>
      </c>
      <c r="M163" s="1">
        <v>44739</v>
      </c>
      <c r="N163" t="s">
        <v>52</v>
      </c>
      <c r="O163" t="s">
        <v>30</v>
      </c>
      <c r="P163">
        <v>24</v>
      </c>
      <c r="Q163" t="s">
        <v>43</v>
      </c>
      <c r="R163" t="s">
        <v>44</v>
      </c>
      <c r="S163">
        <v>6</v>
      </c>
      <c r="T163">
        <v>2022</v>
      </c>
      <c r="U163" t="s">
        <v>118</v>
      </c>
    </row>
    <row r="164" spans="1:21" x14ac:dyDescent="0.3">
      <c r="A164" t="s">
        <v>558</v>
      </c>
      <c r="B164">
        <v>65</v>
      </c>
      <c r="C164" t="s">
        <v>22</v>
      </c>
      <c r="D164" t="s">
        <v>23</v>
      </c>
      <c r="E164" t="s">
        <v>70</v>
      </c>
      <c r="F164" s="1">
        <v>43881</v>
      </c>
      <c r="G164" t="s">
        <v>559</v>
      </c>
      <c r="H164" t="s">
        <v>560</v>
      </c>
      <c r="I164" t="s">
        <v>51</v>
      </c>
      <c r="J164">
        <v>49321.16</v>
      </c>
      <c r="K164">
        <v>167</v>
      </c>
      <c r="L164" t="s">
        <v>40</v>
      </c>
      <c r="M164" s="1">
        <v>43891</v>
      </c>
      <c r="N164" t="s">
        <v>67</v>
      </c>
      <c r="O164" t="s">
        <v>61</v>
      </c>
      <c r="P164">
        <v>10</v>
      </c>
      <c r="Q164" t="s">
        <v>43</v>
      </c>
      <c r="R164" t="s">
        <v>44</v>
      </c>
      <c r="S164">
        <v>2</v>
      </c>
      <c r="T164">
        <v>2020</v>
      </c>
      <c r="U164" t="s">
        <v>278</v>
      </c>
    </row>
    <row r="165" spans="1:21" x14ac:dyDescent="0.3">
      <c r="A165" t="s">
        <v>561</v>
      </c>
      <c r="B165">
        <v>80</v>
      </c>
      <c r="C165" t="s">
        <v>22</v>
      </c>
      <c r="D165" t="s">
        <v>76</v>
      </c>
      <c r="E165" t="s">
        <v>70</v>
      </c>
      <c r="F165" s="1">
        <v>44232</v>
      </c>
      <c r="G165" t="s">
        <v>562</v>
      </c>
      <c r="H165" t="s">
        <v>563</v>
      </c>
      <c r="I165" t="s">
        <v>82</v>
      </c>
      <c r="J165">
        <v>47433.279999999999</v>
      </c>
      <c r="K165">
        <v>179</v>
      </c>
      <c r="L165" t="s">
        <v>60</v>
      </c>
      <c r="M165" s="1">
        <v>44260</v>
      </c>
      <c r="N165" t="s">
        <v>67</v>
      </c>
      <c r="O165" t="s">
        <v>42</v>
      </c>
      <c r="P165">
        <v>28</v>
      </c>
      <c r="Q165" t="s">
        <v>53</v>
      </c>
      <c r="R165" t="s">
        <v>44</v>
      </c>
      <c r="S165">
        <v>2</v>
      </c>
      <c r="T165">
        <v>2021</v>
      </c>
      <c r="U165" t="s">
        <v>278</v>
      </c>
    </row>
    <row r="166" spans="1:21" x14ac:dyDescent="0.3">
      <c r="A166" t="s">
        <v>564</v>
      </c>
      <c r="B166">
        <v>72</v>
      </c>
      <c r="C166" t="s">
        <v>47</v>
      </c>
      <c r="D166" t="s">
        <v>149</v>
      </c>
      <c r="E166" t="s">
        <v>115</v>
      </c>
      <c r="F166" s="1">
        <v>44128</v>
      </c>
      <c r="G166" t="s">
        <v>565</v>
      </c>
      <c r="H166" t="s">
        <v>566</v>
      </c>
      <c r="I166" t="s">
        <v>39</v>
      </c>
      <c r="J166">
        <v>19065.060000000001</v>
      </c>
      <c r="K166">
        <v>490</v>
      </c>
      <c r="L166" t="s">
        <v>40</v>
      </c>
      <c r="M166" s="1">
        <v>44137</v>
      </c>
      <c r="N166" t="s">
        <v>29</v>
      </c>
      <c r="O166" t="s">
        <v>61</v>
      </c>
      <c r="P166">
        <v>9</v>
      </c>
      <c r="Q166" t="s">
        <v>53</v>
      </c>
      <c r="R166" t="s">
        <v>32</v>
      </c>
      <c r="S166">
        <v>10</v>
      </c>
      <c r="T166">
        <v>2020</v>
      </c>
      <c r="U166" t="s">
        <v>110</v>
      </c>
    </row>
    <row r="167" spans="1:21" x14ac:dyDescent="0.3">
      <c r="A167" t="s">
        <v>567</v>
      </c>
      <c r="B167">
        <v>85</v>
      </c>
      <c r="C167" t="s">
        <v>22</v>
      </c>
      <c r="D167" t="s">
        <v>149</v>
      </c>
      <c r="E167" t="s">
        <v>24</v>
      </c>
      <c r="F167" s="1">
        <v>45266</v>
      </c>
      <c r="G167" t="s">
        <v>568</v>
      </c>
      <c r="H167" t="s">
        <v>569</v>
      </c>
      <c r="I167" t="s">
        <v>82</v>
      </c>
      <c r="J167">
        <v>50142.03</v>
      </c>
      <c r="K167">
        <v>258</v>
      </c>
      <c r="L167" t="s">
        <v>60</v>
      </c>
      <c r="M167" s="1">
        <v>45279</v>
      </c>
      <c r="N167" t="s">
        <v>41</v>
      </c>
      <c r="O167" t="s">
        <v>61</v>
      </c>
      <c r="P167">
        <v>13</v>
      </c>
      <c r="Q167" t="s">
        <v>53</v>
      </c>
      <c r="R167" t="s">
        <v>44</v>
      </c>
      <c r="S167">
        <v>12</v>
      </c>
      <c r="T167">
        <v>2023</v>
      </c>
      <c r="U167" t="s">
        <v>74</v>
      </c>
    </row>
    <row r="168" spans="1:21" x14ac:dyDescent="0.3">
      <c r="A168" t="s">
        <v>570</v>
      </c>
      <c r="B168">
        <v>68</v>
      </c>
      <c r="C168" t="s">
        <v>47</v>
      </c>
      <c r="D168" t="s">
        <v>56</v>
      </c>
      <c r="E168" t="s">
        <v>96</v>
      </c>
      <c r="F168" s="1">
        <v>44551</v>
      </c>
      <c r="G168" t="s">
        <v>571</v>
      </c>
      <c r="H168" t="s">
        <v>572</v>
      </c>
      <c r="I168" t="s">
        <v>51</v>
      </c>
      <c r="J168">
        <v>12081.68</v>
      </c>
      <c r="K168">
        <v>483</v>
      </c>
      <c r="L168" t="s">
        <v>28</v>
      </c>
      <c r="M168" s="1">
        <v>44560</v>
      </c>
      <c r="N168" t="s">
        <v>99</v>
      </c>
      <c r="O168" t="s">
        <v>61</v>
      </c>
      <c r="P168">
        <v>9</v>
      </c>
      <c r="Q168" t="s">
        <v>43</v>
      </c>
      <c r="R168" t="s">
        <v>32</v>
      </c>
      <c r="S168">
        <v>12</v>
      </c>
      <c r="T168">
        <v>2021</v>
      </c>
      <c r="U168" t="s">
        <v>74</v>
      </c>
    </row>
    <row r="169" spans="1:21" x14ac:dyDescent="0.3">
      <c r="A169" t="s">
        <v>573</v>
      </c>
      <c r="B169">
        <v>56</v>
      </c>
      <c r="C169" t="s">
        <v>47</v>
      </c>
      <c r="D169" t="s">
        <v>48</v>
      </c>
      <c r="E169" t="s">
        <v>24</v>
      </c>
      <c r="F169" s="1">
        <v>45172</v>
      </c>
      <c r="G169" t="s">
        <v>574</v>
      </c>
      <c r="H169" t="s">
        <v>575</v>
      </c>
      <c r="I169" t="s">
        <v>51</v>
      </c>
      <c r="J169">
        <v>18030.79</v>
      </c>
      <c r="K169">
        <v>273</v>
      </c>
      <c r="L169" t="s">
        <v>60</v>
      </c>
      <c r="M169" s="1">
        <v>45199</v>
      </c>
      <c r="N169" t="s">
        <v>99</v>
      </c>
      <c r="O169" t="s">
        <v>42</v>
      </c>
      <c r="P169">
        <v>27</v>
      </c>
      <c r="Q169" t="s">
        <v>43</v>
      </c>
      <c r="R169" t="s">
        <v>32</v>
      </c>
      <c r="S169">
        <v>9</v>
      </c>
      <c r="T169">
        <v>2023</v>
      </c>
      <c r="U169" t="s">
        <v>54</v>
      </c>
    </row>
    <row r="170" spans="1:21" x14ac:dyDescent="0.3">
      <c r="A170" t="s">
        <v>576</v>
      </c>
      <c r="B170">
        <v>53</v>
      </c>
      <c r="C170" t="s">
        <v>47</v>
      </c>
      <c r="D170" t="s">
        <v>149</v>
      </c>
      <c r="E170" t="s">
        <v>70</v>
      </c>
      <c r="F170" s="1">
        <v>44122</v>
      </c>
      <c r="G170" t="s">
        <v>577</v>
      </c>
      <c r="H170" t="s">
        <v>578</v>
      </c>
      <c r="I170" t="s">
        <v>39</v>
      </c>
      <c r="J170">
        <v>5142.16</v>
      </c>
      <c r="K170">
        <v>120</v>
      </c>
      <c r="L170" t="s">
        <v>60</v>
      </c>
      <c r="M170" s="1">
        <v>44145</v>
      </c>
      <c r="N170" t="s">
        <v>29</v>
      </c>
      <c r="O170" t="s">
        <v>61</v>
      </c>
      <c r="P170">
        <v>23</v>
      </c>
      <c r="Q170" t="s">
        <v>68</v>
      </c>
      <c r="R170" t="s">
        <v>100</v>
      </c>
      <c r="S170">
        <v>10</v>
      </c>
      <c r="T170">
        <v>2020</v>
      </c>
      <c r="U170" t="s">
        <v>110</v>
      </c>
    </row>
    <row r="171" spans="1:21" x14ac:dyDescent="0.3">
      <c r="A171" t="s">
        <v>579</v>
      </c>
      <c r="B171">
        <v>37</v>
      </c>
      <c r="C171" t="s">
        <v>47</v>
      </c>
      <c r="D171" t="s">
        <v>127</v>
      </c>
      <c r="E171" t="s">
        <v>70</v>
      </c>
      <c r="F171" s="1">
        <v>44384</v>
      </c>
      <c r="G171" t="s">
        <v>580</v>
      </c>
      <c r="H171" t="s">
        <v>581</v>
      </c>
      <c r="I171" t="s">
        <v>73</v>
      </c>
      <c r="J171">
        <v>19851.240000000002</v>
      </c>
      <c r="K171">
        <v>202</v>
      </c>
      <c r="L171" t="s">
        <v>60</v>
      </c>
      <c r="M171" s="1">
        <v>44401</v>
      </c>
      <c r="N171" t="s">
        <v>67</v>
      </c>
      <c r="O171" t="s">
        <v>30</v>
      </c>
      <c r="P171">
        <v>17</v>
      </c>
      <c r="Q171" t="s">
        <v>68</v>
      </c>
      <c r="R171" t="s">
        <v>32</v>
      </c>
      <c r="S171">
        <v>7</v>
      </c>
      <c r="T171">
        <v>2021</v>
      </c>
      <c r="U171" t="s">
        <v>86</v>
      </c>
    </row>
    <row r="172" spans="1:21" x14ac:dyDescent="0.3">
      <c r="A172" t="s">
        <v>582</v>
      </c>
      <c r="B172">
        <v>57</v>
      </c>
      <c r="C172" t="s">
        <v>47</v>
      </c>
      <c r="D172" t="s">
        <v>56</v>
      </c>
      <c r="E172" t="s">
        <v>96</v>
      </c>
      <c r="F172" s="1">
        <v>45166</v>
      </c>
      <c r="G172" t="s">
        <v>583</v>
      </c>
      <c r="H172" t="s">
        <v>584</v>
      </c>
      <c r="I172" t="s">
        <v>82</v>
      </c>
      <c r="J172">
        <v>20545.87</v>
      </c>
      <c r="K172">
        <v>198</v>
      </c>
      <c r="L172" t="s">
        <v>28</v>
      </c>
      <c r="M172" s="1">
        <v>45185</v>
      </c>
      <c r="N172" t="s">
        <v>67</v>
      </c>
      <c r="O172" t="s">
        <v>61</v>
      </c>
      <c r="P172">
        <v>19</v>
      </c>
      <c r="Q172" t="s">
        <v>43</v>
      </c>
      <c r="R172" t="s">
        <v>32</v>
      </c>
      <c r="S172">
        <v>8</v>
      </c>
      <c r="T172">
        <v>2023</v>
      </c>
      <c r="U172" t="s">
        <v>45</v>
      </c>
    </row>
    <row r="173" spans="1:21" x14ac:dyDescent="0.3">
      <c r="A173" t="s">
        <v>585</v>
      </c>
      <c r="B173">
        <v>36</v>
      </c>
      <c r="C173" t="s">
        <v>22</v>
      </c>
      <c r="D173" t="s">
        <v>56</v>
      </c>
      <c r="E173" t="s">
        <v>115</v>
      </c>
      <c r="F173" s="1">
        <v>43786</v>
      </c>
      <c r="G173" t="s">
        <v>586</v>
      </c>
      <c r="H173" t="s">
        <v>587</v>
      </c>
      <c r="I173" t="s">
        <v>82</v>
      </c>
      <c r="J173">
        <v>36869.730000000003</v>
      </c>
      <c r="K173">
        <v>368</v>
      </c>
      <c r="L173" t="s">
        <v>28</v>
      </c>
      <c r="M173" s="1">
        <v>43800</v>
      </c>
      <c r="N173" t="s">
        <v>67</v>
      </c>
      <c r="O173" t="s">
        <v>30</v>
      </c>
      <c r="P173">
        <v>14</v>
      </c>
      <c r="Q173" t="s">
        <v>68</v>
      </c>
      <c r="R173" t="s">
        <v>44</v>
      </c>
      <c r="S173">
        <v>11</v>
      </c>
      <c r="T173">
        <v>2019</v>
      </c>
      <c r="U173" t="s">
        <v>62</v>
      </c>
    </row>
    <row r="174" spans="1:21" x14ac:dyDescent="0.3">
      <c r="A174" t="s">
        <v>588</v>
      </c>
      <c r="B174">
        <v>20</v>
      </c>
      <c r="C174" t="s">
        <v>47</v>
      </c>
      <c r="D174" t="s">
        <v>127</v>
      </c>
      <c r="E174" t="s">
        <v>24</v>
      </c>
      <c r="F174" s="1">
        <v>44157</v>
      </c>
      <c r="G174" t="s">
        <v>589</v>
      </c>
      <c r="H174" t="s">
        <v>590</v>
      </c>
      <c r="I174" t="s">
        <v>82</v>
      </c>
      <c r="J174">
        <v>40598.42</v>
      </c>
      <c r="K174">
        <v>113</v>
      </c>
      <c r="L174" t="s">
        <v>60</v>
      </c>
      <c r="M174" s="1">
        <v>44182</v>
      </c>
      <c r="N174" t="s">
        <v>29</v>
      </c>
      <c r="O174" t="s">
        <v>30</v>
      </c>
      <c r="P174">
        <v>25</v>
      </c>
      <c r="Q174" t="s">
        <v>31</v>
      </c>
      <c r="R174" t="s">
        <v>44</v>
      </c>
      <c r="S174">
        <v>11</v>
      </c>
      <c r="T174">
        <v>2020</v>
      </c>
      <c r="U174" t="s">
        <v>62</v>
      </c>
    </row>
    <row r="175" spans="1:21" x14ac:dyDescent="0.3">
      <c r="A175" t="s">
        <v>591</v>
      </c>
      <c r="B175">
        <v>83</v>
      </c>
      <c r="C175" t="s">
        <v>22</v>
      </c>
      <c r="D175" t="s">
        <v>149</v>
      </c>
      <c r="E175" t="s">
        <v>70</v>
      </c>
      <c r="F175" s="1">
        <v>44513</v>
      </c>
      <c r="G175" t="s">
        <v>592</v>
      </c>
      <c r="H175" t="s">
        <v>593</v>
      </c>
      <c r="I175" t="s">
        <v>51</v>
      </c>
      <c r="J175">
        <v>18198.060000000001</v>
      </c>
      <c r="K175">
        <v>308</v>
      </c>
      <c r="L175" t="s">
        <v>28</v>
      </c>
      <c r="M175" s="1">
        <v>44538</v>
      </c>
      <c r="N175" t="s">
        <v>41</v>
      </c>
      <c r="O175" t="s">
        <v>30</v>
      </c>
      <c r="P175">
        <v>25</v>
      </c>
      <c r="Q175" t="s">
        <v>53</v>
      </c>
      <c r="R175" t="s">
        <v>32</v>
      </c>
      <c r="S175">
        <v>11</v>
      </c>
      <c r="T175">
        <v>2021</v>
      </c>
      <c r="U175" t="s">
        <v>62</v>
      </c>
    </row>
    <row r="176" spans="1:21" x14ac:dyDescent="0.3">
      <c r="A176" t="s">
        <v>594</v>
      </c>
      <c r="B176">
        <v>79</v>
      </c>
      <c r="C176" t="s">
        <v>22</v>
      </c>
      <c r="D176" t="s">
        <v>127</v>
      </c>
      <c r="E176" t="s">
        <v>36</v>
      </c>
      <c r="F176" s="1">
        <v>44605</v>
      </c>
      <c r="G176" t="s">
        <v>595</v>
      </c>
      <c r="H176" t="s">
        <v>596</v>
      </c>
      <c r="I176" t="s">
        <v>27</v>
      </c>
      <c r="J176">
        <v>4920.04</v>
      </c>
      <c r="K176">
        <v>278</v>
      </c>
      <c r="L176" t="s">
        <v>60</v>
      </c>
      <c r="M176" s="1">
        <v>44612</v>
      </c>
      <c r="N176" t="s">
        <v>29</v>
      </c>
      <c r="O176" t="s">
        <v>30</v>
      </c>
      <c r="P176">
        <v>7</v>
      </c>
      <c r="Q176" t="s">
        <v>53</v>
      </c>
      <c r="R176" t="s">
        <v>100</v>
      </c>
      <c r="S176">
        <v>2</v>
      </c>
      <c r="T176">
        <v>2022</v>
      </c>
      <c r="U176" t="s">
        <v>278</v>
      </c>
    </row>
    <row r="177" spans="1:21" x14ac:dyDescent="0.3">
      <c r="A177" t="s">
        <v>597</v>
      </c>
      <c r="B177">
        <v>62</v>
      </c>
      <c r="C177" t="s">
        <v>22</v>
      </c>
      <c r="D177" t="s">
        <v>56</v>
      </c>
      <c r="E177" t="s">
        <v>57</v>
      </c>
      <c r="F177" s="1">
        <v>43601</v>
      </c>
      <c r="G177" t="s">
        <v>598</v>
      </c>
      <c r="H177" t="s">
        <v>599</v>
      </c>
      <c r="I177" t="s">
        <v>73</v>
      </c>
      <c r="J177">
        <v>3864.14</v>
      </c>
      <c r="K177">
        <v>103</v>
      </c>
      <c r="L177" t="s">
        <v>28</v>
      </c>
      <c r="M177" s="1">
        <v>43616</v>
      </c>
      <c r="N177" t="s">
        <v>52</v>
      </c>
      <c r="O177" t="s">
        <v>42</v>
      </c>
      <c r="P177">
        <v>15</v>
      </c>
      <c r="Q177" t="s">
        <v>43</v>
      </c>
      <c r="R177" t="s">
        <v>100</v>
      </c>
      <c r="S177">
        <v>5</v>
      </c>
      <c r="T177">
        <v>2019</v>
      </c>
      <c r="U177" t="s">
        <v>90</v>
      </c>
    </row>
    <row r="178" spans="1:21" x14ac:dyDescent="0.3">
      <c r="A178" t="s">
        <v>600</v>
      </c>
      <c r="B178">
        <v>38</v>
      </c>
      <c r="C178" t="s">
        <v>22</v>
      </c>
      <c r="D178" t="s">
        <v>64</v>
      </c>
      <c r="E178" t="s">
        <v>70</v>
      </c>
      <c r="F178" s="1">
        <v>44412</v>
      </c>
      <c r="G178" t="s">
        <v>601</v>
      </c>
      <c r="H178" t="s">
        <v>602</v>
      </c>
      <c r="I178" t="s">
        <v>27</v>
      </c>
      <c r="J178">
        <v>21562.86</v>
      </c>
      <c r="K178">
        <v>400</v>
      </c>
      <c r="L178" t="s">
        <v>28</v>
      </c>
      <c r="M178" s="1">
        <v>44434</v>
      </c>
      <c r="N178" t="s">
        <v>29</v>
      </c>
      <c r="O178" t="s">
        <v>30</v>
      </c>
      <c r="P178">
        <v>22</v>
      </c>
      <c r="Q178" t="s">
        <v>68</v>
      </c>
      <c r="R178" t="s">
        <v>32</v>
      </c>
      <c r="S178">
        <v>8</v>
      </c>
      <c r="T178">
        <v>2021</v>
      </c>
      <c r="U178" t="s">
        <v>45</v>
      </c>
    </row>
    <row r="179" spans="1:21" x14ac:dyDescent="0.3">
      <c r="A179" t="s">
        <v>603</v>
      </c>
      <c r="B179">
        <v>75</v>
      </c>
      <c r="C179" t="s">
        <v>47</v>
      </c>
      <c r="D179" t="s">
        <v>23</v>
      </c>
      <c r="E179" t="s">
        <v>24</v>
      </c>
      <c r="F179" s="1">
        <v>43833</v>
      </c>
      <c r="G179" t="s">
        <v>604</v>
      </c>
      <c r="H179" t="s">
        <v>605</v>
      </c>
      <c r="I179" t="s">
        <v>39</v>
      </c>
      <c r="J179">
        <v>11815.2</v>
      </c>
      <c r="K179">
        <v>401</v>
      </c>
      <c r="L179" t="s">
        <v>60</v>
      </c>
      <c r="M179" s="1">
        <v>43857</v>
      </c>
      <c r="N179" t="s">
        <v>41</v>
      </c>
      <c r="O179" t="s">
        <v>61</v>
      </c>
      <c r="P179">
        <v>24</v>
      </c>
      <c r="Q179" t="s">
        <v>53</v>
      </c>
      <c r="R179" t="s">
        <v>32</v>
      </c>
      <c r="S179">
        <v>1</v>
      </c>
      <c r="T179">
        <v>2020</v>
      </c>
      <c r="U179" t="s">
        <v>33</v>
      </c>
    </row>
    <row r="180" spans="1:21" x14ac:dyDescent="0.3">
      <c r="A180" t="s">
        <v>606</v>
      </c>
      <c r="B180">
        <v>28</v>
      </c>
      <c r="C180" t="s">
        <v>22</v>
      </c>
      <c r="D180" t="s">
        <v>35</v>
      </c>
      <c r="E180" t="s">
        <v>96</v>
      </c>
      <c r="F180" s="1">
        <v>44817</v>
      </c>
      <c r="G180" t="s">
        <v>607</v>
      </c>
      <c r="H180" t="s">
        <v>608</v>
      </c>
      <c r="I180" t="s">
        <v>82</v>
      </c>
      <c r="J180">
        <v>25796.87</v>
      </c>
      <c r="K180">
        <v>258</v>
      </c>
      <c r="L180" t="s">
        <v>28</v>
      </c>
      <c r="M180" s="1">
        <v>44841</v>
      </c>
      <c r="N180" t="s">
        <v>99</v>
      </c>
      <c r="O180" t="s">
        <v>61</v>
      </c>
      <c r="P180">
        <v>24</v>
      </c>
      <c r="Q180" t="s">
        <v>31</v>
      </c>
      <c r="R180" t="s">
        <v>32</v>
      </c>
      <c r="S180">
        <v>9</v>
      </c>
      <c r="T180">
        <v>2022</v>
      </c>
      <c r="U180" t="s">
        <v>54</v>
      </c>
    </row>
    <row r="181" spans="1:21" x14ac:dyDescent="0.3">
      <c r="A181" t="s">
        <v>609</v>
      </c>
      <c r="B181">
        <v>36</v>
      </c>
      <c r="C181" t="s">
        <v>22</v>
      </c>
      <c r="D181" t="s">
        <v>149</v>
      </c>
      <c r="E181" t="s">
        <v>96</v>
      </c>
      <c r="F181" s="1">
        <v>44184</v>
      </c>
      <c r="G181" t="s">
        <v>610</v>
      </c>
      <c r="H181" t="s">
        <v>611</v>
      </c>
      <c r="I181" t="s">
        <v>73</v>
      </c>
      <c r="J181">
        <v>4266.78</v>
      </c>
      <c r="K181">
        <v>268</v>
      </c>
      <c r="L181" t="s">
        <v>40</v>
      </c>
      <c r="M181" s="1">
        <v>44205</v>
      </c>
      <c r="N181" t="s">
        <v>99</v>
      </c>
      <c r="O181" t="s">
        <v>30</v>
      </c>
      <c r="P181">
        <v>21</v>
      </c>
      <c r="Q181" t="s">
        <v>68</v>
      </c>
      <c r="R181" t="s">
        <v>100</v>
      </c>
      <c r="S181">
        <v>12</v>
      </c>
      <c r="T181">
        <v>2020</v>
      </c>
      <c r="U181" t="s">
        <v>74</v>
      </c>
    </row>
    <row r="182" spans="1:21" x14ac:dyDescent="0.3">
      <c r="A182" t="s">
        <v>612</v>
      </c>
      <c r="B182">
        <v>54</v>
      </c>
      <c r="C182" t="s">
        <v>22</v>
      </c>
      <c r="D182" t="s">
        <v>64</v>
      </c>
      <c r="E182" t="s">
        <v>36</v>
      </c>
      <c r="F182" s="1">
        <v>45016</v>
      </c>
      <c r="G182" t="s">
        <v>613</v>
      </c>
      <c r="H182" t="s">
        <v>614</v>
      </c>
      <c r="I182" t="s">
        <v>82</v>
      </c>
      <c r="J182">
        <v>4751.16</v>
      </c>
      <c r="K182">
        <v>192</v>
      </c>
      <c r="L182" t="s">
        <v>28</v>
      </c>
      <c r="M182" s="1">
        <v>45045</v>
      </c>
      <c r="N182" t="s">
        <v>67</v>
      </c>
      <c r="O182" t="s">
        <v>42</v>
      </c>
      <c r="P182">
        <v>29</v>
      </c>
      <c r="Q182" t="s">
        <v>68</v>
      </c>
      <c r="R182" t="s">
        <v>100</v>
      </c>
      <c r="S182">
        <v>3</v>
      </c>
      <c r="T182">
        <v>2023</v>
      </c>
      <c r="U182" t="s">
        <v>122</v>
      </c>
    </row>
    <row r="183" spans="1:21" x14ac:dyDescent="0.3">
      <c r="A183" t="s">
        <v>615</v>
      </c>
      <c r="B183">
        <v>81</v>
      </c>
      <c r="C183" t="s">
        <v>47</v>
      </c>
      <c r="D183" t="s">
        <v>23</v>
      </c>
      <c r="E183" t="s">
        <v>57</v>
      </c>
      <c r="F183" s="1">
        <v>43959</v>
      </c>
      <c r="G183" t="s">
        <v>616</v>
      </c>
      <c r="H183" t="s">
        <v>617</v>
      </c>
      <c r="I183" t="s">
        <v>51</v>
      </c>
      <c r="J183">
        <v>17968.5</v>
      </c>
      <c r="K183">
        <v>285</v>
      </c>
      <c r="L183" t="s">
        <v>40</v>
      </c>
      <c r="M183" s="1">
        <v>43979</v>
      </c>
      <c r="N183" t="s">
        <v>99</v>
      </c>
      <c r="O183" t="s">
        <v>42</v>
      </c>
      <c r="P183">
        <v>20</v>
      </c>
      <c r="Q183" t="s">
        <v>53</v>
      </c>
      <c r="R183" t="s">
        <v>32</v>
      </c>
      <c r="S183">
        <v>5</v>
      </c>
      <c r="T183">
        <v>2020</v>
      </c>
      <c r="U183" t="s">
        <v>90</v>
      </c>
    </row>
    <row r="184" spans="1:21" x14ac:dyDescent="0.3">
      <c r="A184" t="s">
        <v>618</v>
      </c>
      <c r="B184">
        <v>56</v>
      </c>
      <c r="C184" t="s">
        <v>47</v>
      </c>
      <c r="D184" t="s">
        <v>64</v>
      </c>
      <c r="E184" t="s">
        <v>36</v>
      </c>
      <c r="F184" s="1">
        <v>45138</v>
      </c>
      <c r="G184" t="s">
        <v>619</v>
      </c>
      <c r="H184" t="s">
        <v>620</v>
      </c>
      <c r="I184" t="s">
        <v>82</v>
      </c>
      <c r="J184">
        <v>11311.33</v>
      </c>
      <c r="K184">
        <v>302</v>
      </c>
      <c r="L184" t="s">
        <v>28</v>
      </c>
      <c r="M184" s="1">
        <v>45140</v>
      </c>
      <c r="N184" t="s">
        <v>99</v>
      </c>
      <c r="O184" t="s">
        <v>30</v>
      </c>
      <c r="P184">
        <v>2</v>
      </c>
      <c r="Q184" t="s">
        <v>43</v>
      </c>
      <c r="R184" t="s">
        <v>32</v>
      </c>
      <c r="S184">
        <v>7</v>
      </c>
      <c r="T184">
        <v>2023</v>
      </c>
      <c r="U184" t="s">
        <v>86</v>
      </c>
    </row>
    <row r="185" spans="1:21" x14ac:dyDescent="0.3">
      <c r="A185" t="s">
        <v>621</v>
      </c>
      <c r="B185">
        <v>30</v>
      </c>
      <c r="C185" t="s">
        <v>22</v>
      </c>
      <c r="D185" t="s">
        <v>76</v>
      </c>
      <c r="E185" t="s">
        <v>96</v>
      </c>
      <c r="F185" s="1">
        <v>44570</v>
      </c>
      <c r="G185" t="s">
        <v>622</v>
      </c>
      <c r="H185" t="s">
        <v>623</v>
      </c>
      <c r="I185" t="s">
        <v>27</v>
      </c>
      <c r="J185">
        <v>47242.22</v>
      </c>
      <c r="K185">
        <v>418</v>
      </c>
      <c r="L185" t="s">
        <v>40</v>
      </c>
      <c r="M185" s="1">
        <v>44573</v>
      </c>
      <c r="N185" t="s">
        <v>41</v>
      </c>
      <c r="O185" t="s">
        <v>42</v>
      </c>
      <c r="P185">
        <v>3</v>
      </c>
      <c r="Q185" t="s">
        <v>31</v>
      </c>
      <c r="R185" t="s">
        <v>44</v>
      </c>
      <c r="S185">
        <v>1</v>
      </c>
      <c r="T185">
        <v>2022</v>
      </c>
      <c r="U185" t="s">
        <v>33</v>
      </c>
    </row>
    <row r="186" spans="1:21" x14ac:dyDescent="0.3">
      <c r="A186" t="s">
        <v>624</v>
      </c>
      <c r="B186">
        <v>64</v>
      </c>
      <c r="C186" t="s">
        <v>47</v>
      </c>
      <c r="D186" t="s">
        <v>48</v>
      </c>
      <c r="E186" t="s">
        <v>57</v>
      </c>
      <c r="F186" s="1">
        <v>45276</v>
      </c>
      <c r="G186" t="s">
        <v>625</v>
      </c>
      <c r="H186" t="s">
        <v>626</v>
      </c>
      <c r="I186" t="s">
        <v>82</v>
      </c>
      <c r="J186">
        <v>17670.509999999998</v>
      </c>
      <c r="K186">
        <v>128</v>
      </c>
      <c r="L186" t="s">
        <v>60</v>
      </c>
      <c r="M186" s="1">
        <v>45306</v>
      </c>
      <c r="N186" t="s">
        <v>29</v>
      </c>
      <c r="O186" t="s">
        <v>42</v>
      </c>
      <c r="P186">
        <v>30</v>
      </c>
      <c r="Q186" t="s">
        <v>43</v>
      </c>
      <c r="R186" t="s">
        <v>32</v>
      </c>
      <c r="S186">
        <v>12</v>
      </c>
      <c r="T186">
        <v>2023</v>
      </c>
      <c r="U186" t="s">
        <v>74</v>
      </c>
    </row>
    <row r="187" spans="1:21" x14ac:dyDescent="0.3">
      <c r="A187" t="s">
        <v>627</v>
      </c>
      <c r="B187">
        <v>76</v>
      </c>
      <c r="C187" t="s">
        <v>22</v>
      </c>
      <c r="D187" t="s">
        <v>35</v>
      </c>
      <c r="E187" t="s">
        <v>36</v>
      </c>
      <c r="F187" s="1">
        <v>44170</v>
      </c>
      <c r="G187" t="s">
        <v>628</v>
      </c>
      <c r="H187" t="s">
        <v>629</v>
      </c>
      <c r="I187" t="s">
        <v>39</v>
      </c>
      <c r="J187">
        <v>5714.75</v>
      </c>
      <c r="K187">
        <v>238</v>
      </c>
      <c r="L187" t="s">
        <v>60</v>
      </c>
      <c r="M187" s="1">
        <v>44183</v>
      </c>
      <c r="N187" t="s">
        <v>99</v>
      </c>
      <c r="O187" t="s">
        <v>61</v>
      </c>
      <c r="P187">
        <v>13</v>
      </c>
      <c r="Q187" t="s">
        <v>53</v>
      </c>
      <c r="R187" t="s">
        <v>100</v>
      </c>
      <c r="S187">
        <v>12</v>
      </c>
      <c r="T187">
        <v>2020</v>
      </c>
      <c r="U187" t="s">
        <v>74</v>
      </c>
    </row>
    <row r="188" spans="1:21" x14ac:dyDescent="0.3">
      <c r="A188" t="s">
        <v>630</v>
      </c>
      <c r="B188">
        <v>21</v>
      </c>
      <c r="C188" t="s">
        <v>47</v>
      </c>
      <c r="D188" t="s">
        <v>64</v>
      </c>
      <c r="E188" t="s">
        <v>57</v>
      </c>
      <c r="F188" s="1">
        <v>44511</v>
      </c>
      <c r="G188" t="s">
        <v>631</v>
      </c>
      <c r="H188" t="s">
        <v>632</v>
      </c>
      <c r="I188" t="s">
        <v>82</v>
      </c>
      <c r="J188">
        <v>5985.98</v>
      </c>
      <c r="K188">
        <v>136</v>
      </c>
      <c r="L188" t="s">
        <v>28</v>
      </c>
      <c r="M188" s="1">
        <v>44534</v>
      </c>
      <c r="N188" t="s">
        <v>67</v>
      </c>
      <c r="O188" t="s">
        <v>30</v>
      </c>
      <c r="P188">
        <v>23</v>
      </c>
      <c r="Q188" t="s">
        <v>31</v>
      </c>
      <c r="R188" t="s">
        <v>100</v>
      </c>
      <c r="S188">
        <v>11</v>
      </c>
      <c r="T188">
        <v>2021</v>
      </c>
      <c r="U188" t="s">
        <v>62</v>
      </c>
    </row>
    <row r="189" spans="1:21" x14ac:dyDescent="0.3">
      <c r="A189" t="s">
        <v>633</v>
      </c>
      <c r="B189">
        <v>59</v>
      </c>
      <c r="C189" t="s">
        <v>47</v>
      </c>
      <c r="D189" t="s">
        <v>56</v>
      </c>
      <c r="E189" t="s">
        <v>36</v>
      </c>
      <c r="F189" s="1">
        <v>43719</v>
      </c>
      <c r="G189" t="s">
        <v>634</v>
      </c>
      <c r="H189" t="s">
        <v>635</v>
      </c>
      <c r="I189" t="s">
        <v>27</v>
      </c>
      <c r="J189">
        <v>27385.74</v>
      </c>
      <c r="K189">
        <v>427</v>
      </c>
      <c r="L189" t="s">
        <v>40</v>
      </c>
      <c r="M189" s="1">
        <v>43723</v>
      </c>
      <c r="N189" t="s">
        <v>67</v>
      </c>
      <c r="O189" t="s">
        <v>42</v>
      </c>
      <c r="P189">
        <v>4</v>
      </c>
      <c r="Q189" t="s">
        <v>43</v>
      </c>
      <c r="R189" t="s">
        <v>32</v>
      </c>
      <c r="S189">
        <v>9</v>
      </c>
      <c r="T189">
        <v>2019</v>
      </c>
      <c r="U189" t="s">
        <v>54</v>
      </c>
    </row>
    <row r="190" spans="1:21" x14ac:dyDescent="0.3">
      <c r="A190" t="s">
        <v>636</v>
      </c>
      <c r="B190">
        <v>31</v>
      </c>
      <c r="C190" t="s">
        <v>47</v>
      </c>
      <c r="D190" t="s">
        <v>48</v>
      </c>
      <c r="E190" t="s">
        <v>57</v>
      </c>
      <c r="F190" s="1">
        <v>44180</v>
      </c>
      <c r="G190" t="s">
        <v>637</v>
      </c>
      <c r="H190" t="s">
        <v>638</v>
      </c>
      <c r="I190" t="s">
        <v>73</v>
      </c>
      <c r="J190">
        <v>3730</v>
      </c>
      <c r="K190">
        <v>218</v>
      </c>
      <c r="L190" t="s">
        <v>28</v>
      </c>
      <c r="M190" s="1">
        <v>44197</v>
      </c>
      <c r="N190" t="s">
        <v>41</v>
      </c>
      <c r="O190" t="s">
        <v>61</v>
      </c>
      <c r="P190">
        <v>17</v>
      </c>
      <c r="Q190" t="s">
        <v>31</v>
      </c>
      <c r="R190" t="s">
        <v>100</v>
      </c>
      <c r="S190">
        <v>12</v>
      </c>
      <c r="T190">
        <v>2020</v>
      </c>
      <c r="U190" t="s">
        <v>74</v>
      </c>
    </row>
    <row r="191" spans="1:21" x14ac:dyDescent="0.3">
      <c r="A191" t="s">
        <v>639</v>
      </c>
      <c r="B191">
        <v>36</v>
      </c>
      <c r="C191" t="s">
        <v>47</v>
      </c>
      <c r="D191" t="s">
        <v>56</v>
      </c>
      <c r="E191" t="s">
        <v>70</v>
      </c>
      <c r="F191" s="1">
        <v>44903</v>
      </c>
      <c r="G191" t="s">
        <v>640</v>
      </c>
      <c r="H191" t="s">
        <v>641</v>
      </c>
      <c r="I191" t="s">
        <v>27</v>
      </c>
      <c r="J191">
        <v>22480.97</v>
      </c>
      <c r="K191">
        <v>348</v>
      </c>
      <c r="L191" t="s">
        <v>60</v>
      </c>
      <c r="M191" s="1">
        <v>44928</v>
      </c>
      <c r="N191" t="s">
        <v>41</v>
      </c>
      <c r="O191" t="s">
        <v>42</v>
      </c>
      <c r="P191">
        <v>25</v>
      </c>
      <c r="Q191" t="s">
        <v>68</v>
      </c>
      <c r="R191" t="s">
        <v>32</v>
      </c>
      <c r="S191">
        <v>12</v>
      </c>
      <c r="T191">
        <v>2022</v>
      </c>
      <c r="U191" t="s">
        <v>74</v>
      </c>
    </row>
    <row r="192" spans="1:21" x14ac:dyDescent="0.3">
      <c r="A192" t="s">
        <v>642</v>
      </c>
      <c r="B192">
        <v>42</v>
      </c>
      <c r="C192" t="s">
        <v>47</v>
      </c>
      <c r="D192" t="s">
        <v>127</v>
      </c>
      <c r="E192" t="s">
        <v>57</v>
      </c>
      <c r="F192" s="1">
        <v>44392</v>
      </c>
      <c r="G192" t="s">
        <v>643</v>
      </c>
      <c r="H192" t="s">
        <v>644</v>
      </c>
      <c r="I192" t="s">
        <v>51</v>
      </c>
      <c r="J192">
        <v>35022.32</v>
      </c>
      <c r="K192">
        <v>486</v>
      </c>
      <c r="L192" t="s">
        <v>60</v>
      </c>
      <c r="M192" s="1">
        <v>44413</v>
      </c>
      <c r="N192" t="s">
        <v>52</v>
      </c>
      <c r="O192" t="s">
        <v>42</v>
      </c>
      <c r="P192">
        <v>21</v>
      </c>
      <c r="Q192" t="s">
        <v>68</v>
      </c>
      <c r="R192" t="s">
        <v>44</v>
      </c>
      <c r="S192">
        <v>7</v>
      </c>
      <c r="T192">
        <v>2021</v>
      </c>
      <c r="U192" t="s">
        <v>86</v>
      </c>
    </row>
    <row r="193" spans="1:21" x14ac:dyDescent="0.3">
      <c r="A193" t="s">
        <v>645</v>
      </c>
      <c r="B193">
        <v>18</v>
      </c>
      <c r="C193" t="s">
        <v>47</v>
      </c>
      <c r="D193" t="s">
        <v>64</v>
      </c>
      <c r="E193" t="s">
        <v>70</v>
      </c>
      <c r="F193" s="1">
        <v>44728</v>
      </c>
      <c r="G193" t="s">
        <v>646</v>
      </c>
      <c r="H193" t="s">
        <v>647</v>
      </c>
      <c r="I193" t="s">
        <v>27</v>
      </c>
      <c r="J193">
        <v>45072.42</v>
      </c>
      <c r="K193">
        <v>147</v>
      </c>
      <c r="L193" t="s">
        <v>28</v>
      </c>
      <c r="M193" s="1">
        <v>44746</v>
      </c>
      <c r="N193" t="s">
        <v>99</v>
      </c>
      <c r="O193" t="s">
        <v>42</v>
      </c>
      <c r="P193">
        <v>18</v>
      </c>
      <c r="Q193" t="s">
        <v>31</v>
      </c>
      <c r="R193" t="s">
        <v>44</v>
      </c>
      <c r="S193">
        <v>6</v>
      </c>
      <c r="T193">
        <v>2022</v>
      </c>
      <c r="U193" t="s">
        <v>118</v>
      </c>
    </row>
    <row r="194" spans="1:21" x14ac:dyDescent="0.3">
      <c r="A194" t="s">
        <v>648</v>
      </c>
      <c r="B194">
        <v>62</v>
      </c>
      <c r="C194" t="s">
        <v>47</v>
      </c>
      <c r="D194" t="s">
        <v>35</v>
      </c>
      <c r="E194" t="s">
        <v>36</v>
      </c>
      <c r="F194" s="1">
        <v>45331</v>
      </c>
      <c r="G194" t="s">
        <v>649</v>
      </c>
      <c r="H194" t="s">
        <v>650</v>
      </c>
      <c r="I194" t="s">
        <v>73</v>
      </c>
      <c r="J194">
        <v>45902.71</v>
      </c>
      <c r="K194">
        <v>126</v>
      </c>
      <c r="L194" t="s">
        <v>28</v>
      </c>
      <c r="M194" s="1">
        <v>45341</v>
      </c>
      <c r="N194" t="s">
        <v>52</v>
      </c>
      <c r="O194" t="s">
        <v>30</v>
      </c>
      <c r="P194">
        <v>10</v>
      </c>
      <c r="Q194" t="s">
        <v>43</v>
      </c>
      <c r="R194" t="s">
        <v>44</v>
      </c>
      <c r="S194">
        <v>2</v>
      </c>
      <c r="T194">
        <v>2024</v>
      </c>
      <c r="U194" t="s">
        <v>278</v>
      </c>
    </row>
    <row r="195" spans="1:21" x14ac:dyDescent="0.3">
      <c r="A195" t="s">
        <v>651</v>
      </c>
      <c r="B195">
        <v>53</v>
      </c>
      <c r="C195" t="s">
        <v>22</v>
      </c>
      <c r="D195" t="s">
        <v>64</v>
      </c>
      <c r="E195" t="s">
        <v>96</v>
      </c>
      <c r="F195" s="1">
        <v>45355</v>
      </c>
      <c r="G195" t="s">
        <v>652</v>
      </c>
      <c r="H195" t="s">
        <v>653</v>
      </c>
      <c r="I195" t="s">
        <v>39</v>
      </c>
      <c r="J195">
        <v>28899.19</v>
      </c>
      <c r="K195">
        <v>314</v>
      </c>
      <c r="L195" t="s">
        <v>40</v>
      </c>
      <c r="M195" s="1">
        <v>45369</v>
      </c>
      <c r="N195" t="s">
        <v>29</v>
      </c>
      <c r="O195" t="s">
        <v>61</v>
      </c>
      <c r="P195">
        <v>14</v>
      </c>
      <c r="Q195" t="s">
        <v>68</v>
      </c>
      <c r="R195" t="s">
        <v>32</v>
      </c>
      <c r="S195">
        <v>3</v>
      </c>
      <c r="T195">
        <v>2024</v>
      </c>
      <c r="U195" t="s">
        <v>122</v>
      </c>
    </row>
    <row r="196" spans="1:21" x14ac:dyDescent="0.3">
      <c r="A196" t="s">
        <v>654</v>
      </c>
      <c r="B196">
        <v>82</v>
      </c>
      <c r="C196" t="s">
        <v>47</v>
      </c>
      <c r="D196" t="s">
        <v>35</v>
      </c>
      <c r="E196" t="s">
        <v>36</v>
      </c>
      <c r="F196" s="1">
        <v>44603</v>
      </c>
      <c r="G196" t="s">
        <v>655</v>
      </c>
      <c r="H196" t="s">
        <v>656</v>
      </c>
      <c r="I196" t="s">
        <v>27</v>
      </c>
      <c r="J196">
        <v>39003.18</v>
      </c>
      <c r="K196">
        <v>133</v>
      </c>
      <c r="L196" t="s">
        <v>60</v>
      </c>
      <c r="M196" s="1">
        <v>44617</v>
      </c>
      <c r="N196" t="s">
        <v>99</v>
      </c>
      <c r="O196" t="s">
        <v>30</v>
      </c>
      <c r="P196">
        <v>14</v>
      </c>
      <c r="Q196" t="s">
        <v>53</v>
      </c>
      <c r="R196" t="s">
        <v>44</v>
      </c>
      <c r="S196">
        <v>2</v>
      </c>
      <c r="T196">
        <v>2022</v>
      </c>
      <c r="U196" t="s">
        <v>278</v>
      </c>
    </row>
    <row r="197" spans="1:21" x14ac:dyDescent="0.3">
      <c r="A197" t="s">
        <v>657</v>
      </c>
      <c r="B197">
        <v>19</v>
      </c>
      <c r="C197" t="s">
        <v>47</v>
      </c>
      <c r="D197" t="s">
        <v>149</v>
      </c>
      <c r="E197" t="s">
        <v>57</v>
      </c>
      <c r="F197" s="1">
        <v>44600</v>
      </c>
      <c r="G197" t="s">
        <v>658</v>
      </c>
      <c r="H197" t="s">
        <v>659</v>
      </c>
      <c r="I197" t="s">
        <v>27</v>
      </c>
      <c r="J197">
        <v>10348.82</v>
      </c>
      <c r="K197">
        <v>271</v>
      </c>
      <c r="L197" t="s">
        <v>40</v>
      </c>
      <c r="M197" s="1">
        <v>44609</v>
      </c>
      <c r="N197" t="s">
        <v>41</v>
      </c>
      <c r="O197" t="s">
        <v>42</v>
      </c>
      <c r="P197">
        <v>9</v>
      </c>
      <c r="Q197" t="s">
        <v>31</v>
      </c>
      <c r="R197" t="s">
        <v>32</v>
      </c>
      <c r="S197">
        <v>2</v>
      </c>
      <c r="T197">
        <v>2022</v>
      </c>
      <c r="U197" t="s">
        <v>278</v>
      </c>
    </row>
    <row r="198" spans="1:21" x14ac:dyDescent="0.3">
      <c r="A198" t="s">
        <v>660</v>
      </c>
      <c r="B198">
        <v>83</v>
      </c>
      <c r="C198" t="s">
        <v>47</v>
      </c>
      <c r="D198" t="s">
        <v>48</v>
      </c>
      <c r="E198" t="s">
        <v>96</v>
      </c>
      <c r="F198" s="1">
        <v>45092</v>
      </c>
      <c r="G198" t="s">
        <v>661</v>
      </c>
      <c r="H198" t="s">
        <v>662</v>
      </c>
      <c r="I198" t="s">
        <v>73</v>
      </c>
      <c r="J198">
        <v>14371.54</v>
      </c>
      <c r="K198">
        <v>341</v>
      </c>
      <c r="L198" t="s">
        <v>28</v>
      </c>
      <c r="M198" s="1">
        <v>45107</v>
      </c>
      <c r="N198" t="s">
        <v>29</v>
      </c>
      <c r="O198" t="s">
        <v>42</v>
      </c>
      <c r="P198">
        <v>15</v>
      </c>
      <c r="Q198" t="s">
        <v>53</v>
      </c>
      <c r="R198" t="s">
        <v>32</v>
      </c>
      <c r="S198">
        <v>6</v>
      </c>
      <c r="T198">
        <v>2023</v>
      </c>
      <c r="U198" t="s">
        <v>118</v>
      </c>
    </row>
    <row r="199" spans="1:21" x14ac:dyDescent="0.3">
      <c r="A199" t="s">
        <v>663</v>
      </c>
      <c r="B199">
        <v>26</v>
      </c>
      <c r="C199" t="s">
        <v>22</v>
      </c>
      <c r="D199" t="s">
        <v>149</v>
      </c>
      <c r="E199" t="s">
        <v>57</v>
      </c>
      <c r="F199" s="1">
        <v>44480</v>
      </c>
      <c r="G199" t="s">
        <v>664</v>
      </c>
      <c r="H199" t="s">
        <v>665</v>
      </c>
      <c r="I199" t="s">
        <v>73</v>
      </c>
      <c r="J199">
        <v>13769.4</v>
      </c>
      <c r="K199">
        <v>498</v>
      </c>
      <c r="L199" t="s">
        <v>28</v>
      </c>
      <c r="M199" s="1">
        <v>44493</v>
      </c>
      <c r="N199" t="s">
        <v>41</v>
      </c>
      <c r="O199" t="s">
        <v>61</v>
      </c>
      <c r="P199">
        <v>13</v>
      </c>
      <c r="Q199" t="s">
        <v>31</v>
      </c>
      <c r="R199" t="s">
        <v>32</v>
      </c>
      <c r="S199">
        <v>10</v>
      </c>
      <c r="T199">
        <v>2021</v>
      </c>
      <c r="U199" t="s">
        <v>110</v>
      </c>
    </row>
    <row r="200" spans="1:21" x14ac:dyDescent="0.3">
      <c r="A200" t="s">
        <v>666</v>
      </c>
      <c r="B200">
        <v>51</v>
      </c>
      <c r="C200" t="s">
        <v>22</v>
      </c>
      <c r="D200" t="s">
        <v>56</v>
      </c>
      <c r="E200" t="s">
        <v>115</v>
      </c>
      <c r="F200" s="1">
        <v>44542</v>
      </c>
      <c r="G200" t="s">
        <v>667</v>
      </c>
      <c r="H200" t="s">
        <v>668</v>
      </c>
      <c r="I200" t="s">
        <v>51</v>
      </c>
      <c r="J200">
        <v>35868.54</v>
      </c>
      <c r="K200">
        <v>309</v>
      </c>
      <c r="L200" t="s">
        <v>60</v>
      </c>
      <c r="M200" s="1">
        <v>44560</v>
      </c>
      <c r="N200" t="s">
        <v>99</v>
      </c>
      <c r="O200" t="s">
        <v>61</v>
      </c>
      <c r="P200">
        <v>18</v>
      </c>
      <c r="Q200" t="s">
        <v>68</v>
      </c>
      <c r="R200" t="s">
        <v>44</v>
      </c>
      <c r="S200">
        <v>12</v>
      </c>
      <c r="T200">
        <v>2021</v>
      </c>
      <c r="U200" t="s">
        <v>74</v>
      </c>
    </row>
    <row r="201" spans="1:21" x14ac:dyDescent="0.3">
      <c r="A201" t="s">
        <v>669</v>
      </c>
      <c r="B201">
        <v>20</v>
      </c>
      <c r="C201" t="s">
        <v>22</v>
      </c>
      <c r="D201" t="s">
        <v>56</v>
      </c>
      <c r="E201" t="s">
        <v>36</v>
      </c>
      <c r="F201" s="1">
        <v>45116</v>
      </c>
      <c r="G201" t="s">
        <v>670</v>
      </c>
      <c r="H201" t="s">
        <v>671</v>
      </c>
      <c r="I201" t="s">
        <v>27</v>
      </c>
      <c r="J201">
        <v>35205.279999999999</v>
      </c>
      <c r="K201">
        <v>104</v>
      </c>
      <c r="L201" t="s">
        <v>40</v>
      </c>
      <c r="M201" s="1">
        <v>45122</v>
      </c>
      <c r="N201" t="s">
        <v>99</v>
      </c>
      <c r="O201" t="s">
        <v>61</v>
      </c>
      <c r="P201">
        <v>6</v>
      </c>
      <c r="Q201" t="s">
        <v>31</v>
      </c>
      <c r="R201" t="s">
        <v>44</v>
      </c>
      <c r="S201">
        <v>7</v>
      </c>
      <c r="T201">
        <v>2023</v>
      </c>
      <c r="U201" t="s">
        <v>86</v>
      </c>
    </row>
    <row r="202" spans="1:21" x14ac:dyDescent="0.3">
      <c r="A202" t="s">
        <v>672</v>
      </c>
      <c r="B202">
        <v>61</v>
      </c>
      <c r="C202" t="s">
        <v>47</v>
      </c>
      <c r="D202" t="s">
        <v>48</v>
      </c>
      <c r="E202" t="s">
        <v>36</v>
      </c>
      <c r="F202" s="1">
        <v>44082</v>
      </c>
      <c r="G202" t="s">
        <v>673</v>
      </c>
      <c r="H202" t="s">
        <v>674</v>
      </c>
      <c r="I202" t="s">
        <v>27</v>
      </c>
      <c r="J202">
        <v>21576.5</v>
      </c>
      <c r="K202">
        <v>308</v>
      </c>
      <c r="L202" t="s">
        <v>40</v>
      </c>
      <c r="M202" s="1">
        <v>44107</v>
      </c>
      <c r="N202" t="s">
        <v>41</v>
      </c>
      <c r="O202" t="s">
        <v>61</v>
      </c>
      <c r="P202">
        <v>25</v>
      </c>
      <c r="Q202" t="s">
        <v>43</v>
      </c>
      <c r="R202" t="s">
        <v>32</v>
      </c>
      <c r="S202">
        <v>9</v>
      </c>
      <c r="T202">
        <v>2020</v>
      </c>
      <c r="U202" t="s">
        <v>54</v>
      </c>
    </row>
    <row r="203" spans="1:21" x14ac:dyDescent="0.3">
      <c r="A203" t="s">
        <v>675</v>
      </c>
      <c r="B203">
        <v>44</v>
      </c>
      <c r="C203" t="s">
        <v>22</v>
      </c>
      <c r="D203" t="s">
        <v>76</v>
      </c>
      <c r="E203" t="s">
        <v>96</v>
      </c>
      <c r="F203" s="1">
        <v>44074</v>
      </c>
      <c r="G203" t="s">
        <v>676</v>
      </c>
      <c r="H203" t="s">
        <v>677</v>
      </c>
      <c r="I203" t="s">
        <v>51</v>
      </c>
      <c r="J203">
        <v>18771.009999999998</v>
      </c>
      <c r="K203">
        <v>168</v>
      </c>
      <c r="L203" t="s">
        <v>28</v>
      </c>
      <c r="M203" s="1">
        <v>44092</v>
      </c>
      <c r="N203" t="s">
        <v>99</v>
      </c>
      <c r="O203" t="s">
        <v>61</v>
      </c>
      <c r="P203">
        <v>18</v>
      </c>
      <c r="Q203" t="s">
        <v>68</v>
      </c>
      <c r="R203" t="s">
        <v>32</v>
      </c>
      <c r="S203">
        <v>8</v>
      </c>
      <c r="T203">
        <v>2020</v>
      </c>
      <c r="U203" t="s">
        <v>45</v>
      </c>
    </row>
    <row r="204" spans="1:21" x14ac:dyDescent="0.3">
      <c r="A204" t="s">
        <v>678</v>
      </c>
      <c r="B204">
        <v>74</v>
      </c>
      <c r="C204" t="s">
        <v>47</v>
      </c>
      <c r="D204" t="s">
        <v>64</v>
      </c>
      <c r="E204" t="s">
        <v>24</v>
      </c>
      <c r="F204" s="1">
        <v>45392</v>
      </c>
      <c r="G204" t="s">
        <v>679</v>
      </c>
      <c r="H204" t="s">
        <v>680</v>
      </c>
      <c r="I204" t="s">
        <v>27</v>
      </c>
      <c r="J204">
        <v>21668.560000000001</v>
      </c>
      <c r="K204">
        <v>115</v>
      </c>
      <c r="L204" t="s">
        <v>40</v>
      </c>
      <c r="M204" s="1">
        <v>45415</v>
      </c>
      <c r="N204" t="s">
        <v>99</v>
      </c>
      <c r="O204" t="s">
        <v>61</v>
      </c>
      <c r="P204">
        <v>23</v>
      </c>
      <c r="Q204" t="s">
        <v>53</v>
      </c>
      <c r="R204" t="s">
        <v>32</v>
      </c>
      <c r="S204">
        <v>4</v>
      </c>
      <c r="T204">
        <v>2024</v>
      </c>
      <c r="U204" t="s">
        <v>94</v>
      </c>
    </row>
    <row r="205" spans="1:21" x14ac:dyDescent="0.3">
      <c r="A205" t="s">
        <v>681</v>
      </c>
      <c r="B205">
        <v>82</v>
      </c>
      <c r="C205" t="s">
        <v>47</v>
      </c>
      <c r="D205" t="s">
        <v>23</v>
      </c>
      <c r="E205" t="s">
        <v>57</v>
      </c>
      <c r="F205" s="1">
        <v>44418</v>
      </c>
      <c r="G205" t="s">
        <v>682</v>
      </c>
      <c r="H205" t="s">
        <v>683</v>
      </c>
      <c r="I205" t="s">
        <v>82</v>
      </c>
      <c r="J205">
        <v>36339.82</v>
      </c>
      <c r="K205">
        <v>189</v>
      </c>
      <c r="L205" t="s">
        <v>60</v>
      </c>
      <c r="M205" s="1">
        <v>44448</v>
      </c>
      <c r="N205" t="s">
        <v>99</v>
      </c>
      <c r="O205" t="s">
        <v>42</v>
      </c>
      <c r="P205">
        <v>30</v>
      </c>
      <c r="Q205" t="s">
        <v>53</v>
      </c>
      <c r="R205" t="s">
        <v>44</v>
      </c>
      <c r="S205">
        <v>8</v>
      </c>
      <c r="T205">
        <v>2021</v>
      </c>
      <c r="U205" t="s">
        <v>45</v>
      </c>
    </row>
    <row r="206" spans="1:21" x14ac:dyDescent="0.3">
      <c r="A206" t="s">
        <v>684</v>
      </c>
      <c r="B206">
        <v>83</v>
      </c>
      <c r="C206" t="s">
        <v>22</v>
      </c>
      <c r="D206" t="s">
        <v>149</v>
      </c>
      <c r="E206" t="s">
        <v>57</v>
      </c>
      <c r="F206" s="1">
        <v>44586</v>
      </c>
      <c r="G206" t="s">
        <v>685</v>
      </c>
      <c r="H206" t="s">
        <v>686</v>
      </c>
      <c r="I206" t="s">
        <v>82</v>
      </c>
      <c r="J206">
        <v>40825.18</v>
      </c>
      <c r="K206">
        <v>438</v>
      </c>
      <c r="L206" t="s">
        <v>60</v>
      </c>
      <c r="M206" s="1">
        <v>44589</v>
      </c>
      <c r="N206" t="s">
        <v>52</v>
      </c>
      <c r="O206" t="s">
        <v>61</v>
      </c>
      <c r="P206">
        <v>3</v>
      </c>
      <c r="Q206" t="s">
        <v>53</v>
      </c>
      <c r="R206" t="s">
        <v>44</v>
      </c>
      <c r="S206">
        <v>1</v>
      </c>
      <c r="T206">
        <v>2022</v>
      </c>
      <c r="U206" t="s">
        <v>33</v>
      </c>
    </row>
    <row r="207" spans="1:21" x14ac:dyDescent="0.3">
      <c r="A207" t="s">
        <v>687</v>
      </c>
      <c r="B207">
        <v>62</v>
      </c>
      <c r="C207" t="s">
        <v>47</v>
      </c>
      <c r="D207" t="s">
        <v>76</v>
      </c>
      <c r="E207" t="s">
        <v>24</v>
      </c>
      <c r="F207" s="1">
        <v>45181</v>
      </c>
      <c r="G207" t="s">
        <v>688</v>
      </c>
      <c r="H207" t="s">
        <v>689</v>
      </c>
      <c r="I207" t="s">
        <v>27</v>
      </c>
      <c r="J207">
        <v>40469.57</v>
      </c>
      <c r="K207">
        <v>286</v>
      </c>
      <c r="L207" t="s">
        <v>60</v>
      </c>
      <c r="M207" s="1">
        <v>45211</v>
      </c>
      <c r="N207" t="s">
        <v>67</v>
      </c>
      <c r="O207" t="s">
        <v>30</v>
      </c>
      <c r="P207">
        <v>30</v>
      </c>
      <c r="Q207" t="s">
        <v>43</v>
      </c>
      <c r="R207" t="s">
        <v>44</v>
      </c>
      <c r="S207">
        <v>9</v>
      </c>
      <c r="T207">
        <v>2023</v>
      </c>
      <c r="U207" t="s">
        <v>54</v>
      </c>
    </row>
    <row r="208" spans="1:21" x14ac:dyDescent="0.3">
      <c r="A208" t="s">
        <v>690</v>
      </c>
      <c r="B208">
        <v>62</v>
      </c>
      <c r="C208" t="s">
        <v>47</v>
      </c>
      <c r="D208" t="s">
        <v>23</v>
      </c>
      <c r="E208" t="s">
        <v>36</v>
      </c>
      <c r="F208" s="1">
        <v>44048</v>
      </c>
      <c r="G208" t="s">
        <v>691</v>
      </c>
      <c r="H208" t="s">
        <v>692</v>
      </c>
      <c r="I208" t="s">
        <v>39</v>
      </c>
      <c r="J208">
        <v>25749.52</v>
      </c>
      <c r="K208">
        <v>138</v>
      </c>
      <c r="L208" t="s">
        <v>60</v>
      </c>
      <c r="M208" s="1">
        <v>44057</v>
      </c>
      <c r="N208" t="s">
        <v>41</v>
      </c>
      <c r="O208" t="s">
        <v>42</v>
      </c>
      <c r="P208">
        <v>9</v>
      </c>
      <c r="Q208" t="s">
        <v>43</v>
      </c>
      <c r="R208" t="s">
        <v>32</v>
      </c>
      <c r="S208">
        <v>8</v>
      </c>
      <c r="T208">
        <v>2020</v>
      </c>
      <c r="U208" t="s">
        <v>45</v>
      </c>
    </row>
    <row r="209" spans="1:21" x14ac:dyDescent="0.3">
      <c r="A209" t="s">
        <v>693</v>
      </c>
      <c r="B209">
        <v>18</v>
      </c>
      <c r="C209" t="s">
        <v>22</v>
      </c>
      <c r="D209" t="s">
        <v>48</v>
      </c>
      <c r="E209" t="s">
        <v>70</v>
      </c>
      <c r="F209" s="1">
        <v>44688</v>
      </c>
      <c r="G209" t="s">
        <v>694</v>
      </c>
      <c r="H209" t="s">
        <v>695</v>
      </c>
      <c r="I209" t="s">
        <v>51</v>
      </c>
      <c r="J209">
        <v>15841.2</v>
      </c>
      <c r="K209">
        <v>275</v>
      </c>
      <c r="L209" t="s">
        <v>28</v>
      </c>
      <c r="M209" s="1">
        <v>44715</v>
      </c>
      <c r="N209" t="s">
        <v>41</v>
      </c>
      <c r="O209" t="s">
        <v>61</v>
      </c>
      <c r="P209">
        <v>27</v>
      </c>
      <c r="Q209" t="s">
        <v>31</v>
      </c>
      <c r="R209" t="s">
        <v>32</v>
      </c>
      <c r="S209">
        <v>5</v>
      </c>
      <c r="T209">
        <v>2022</v>
      </c>
      <c r="U209" t="s">
        <v>90</v>
      </c>
    </row>
    <row r="210" spans="1:21" x14ac:dyDescent="0.3">
      <c r="A210" t="s">
        <v>696</v>
      </c>
      <c r="B210">
        <v>66</v>
      </c>
      <c r="C210" t="s">
        <v>22</v>
      </c>
      <c r="D210" t="s">
        <v>35</v>
      </c>
      <c r="E210" t="s">
        <v>115</v>
      </c>
      <c r="F210" s="1">
        <v>44605</v>
      </c>
      <c r="G210" t="s">
        <v>697</v>
      </c>
      <c r="H210" t="s">
        <v>698</v>
      </c>
      <c r="I210" t="s">
        <v>39</v>
      </c>
      <c r="J210">
        <v>36086.57</v>
      </c>
      <c r="K210">
        <v>266</v>
      </c>
      <c r="L210" t="s">
        <v>28</v>
      </c>
      <c r="M210" s="1">
        <v>44615</v>
      </c>
      <c r="N210" t="s">
        <v>29</v>
      </c>
      <c r="O210" t="s">
        <v>30</v>
      </c>
      <c r="P210">
        <v>10</v>
      </c>
      <c r="Q210" t="s">
        <v>43</v>
      </c>
      <c r="R210" t="s">
        <v>44</v>
      </c>
      <c r="S210">
        <v>2</v>
      </c>
      <c r="T210">
        <v>2022</v>
      </c>
      <c r="U210" t="s">
        <v>278</v>
      </c>
    </row>
    <row r="211" spans="1:21" x14ac:dyDescent="0.3">
      <c r="A211" t="s">
        <v>699</v>
      </c>
      <c r="B211">
        <v>26</v>
      </c>
      <c r="C211" t="s">
        <v>47</v>
      </c>
      <c r="D211" t="s">
        <v>64</v>
      </c>
      <c r="E211" t="s">
        <v>70</v>
      </c>
      <c r="F211" s="1">
        <v>45354</v>
      </c>
      <c r="G211" t="s">
        <v>700</v>
      </c>
      <c r="H211" t="s">
        <v>701</v>
      </c>
      <c r="I211" t="s">
        <v>27</v>
      </c>
      <c r="J211">
        <v>32085.23</v>
      </c>
      <c r="K211">
        <v>392</v>
      </c>
      <c r="L211" t="s">
        <v>28</v>
      </c>
      <c r="M211" s="1">
        <v>45378</v>
      </c>
      <c r="N211" t="s">
        <v>67</v>
      </c>
      <c r="O211" t="s">
        <v>42</v>
      </c>
      <c r="P211">
        <v>24</v>
      </c>
      <c r="Q211" t="s">
        <v>31</v>
      </c>
      <c r="R211" t="s">
        <v>44</v>
      </c>
      <c r="S211">
        <v>3</v>
      </c>
      <c r="T211">
        <v>2024</v>
      </c>
      <c r="U211" t="s">
        <v>122</v>
      </c>
    </row>
    <row r="212" spans="1:21" x14ac:dyDescent="0.3">
      <c r="A212" t="s">
        <v>702</v>
      </c>
      <c r="B212">
        <v>45</v>
      </c>
      <c r="C212" t="s">
        <v>47</v>
      </c>
      <c r="D212" t="s">
        <v>127</v>
      </c>
      <c r="E212" t="s">
        <v>24</v>
      </c>
      <c r="F212" s="1">
        <v>43904</v>
      </c>
      <c r="G212" t="s">
        <v>703</v>
      </c>
      <c r="H212" t="s">
        <v>704</v>
      </c>
      <c r="I212" t="s">
        <v>82</v>
      </c>
      <c r="J212">
        <v>12356.56</v>
      </c>
      <c r="K212">
        <v>156</v>
      </c>
      <c r="L212" t="s">
        <v>40</v>
      </c>
      <c r="M212" s="1">
        <v>43924</v>
      </c>
      <c r="N212" t="s">
        <v>52</v>
      </c>
      <c r="O212" t="s">
        <v>42</v>
      </c>
      <c r="P212">
        <v>20</v>
      </c>
      <c r="Q212" t="s">
        <v>68</v>
      </c>
      <c r="R212" t="s">
        <v>32</v>
      </c>
      <c r="S212">
        <v>3</v>
      </c>
      <c r="T212">
        <v>2020</v>
      </c>
      <c r="U212" t="s">
        <v>122</v>
      </c>
    </row>
    <row r="213" spans="1:21" x14ac:dyDescent="0.3">
      <c r="A213" t="s">
        <v>705</v>
      </c>
      <c r="B213">
        <v>26</v>
      </c>
      <c r="C213" t="s">
        <v>22</v>
      </c>
      <c r="D213" t="s">
        <v>76</v>
      </c>
      <c r="E213" t="s">
        <v>70</v>
      </c>
      <c r="F213" s="1">
        <v>45329</v>
      </c>
      <c r="G213" t="s">
        <v>706</v>
      </c>
      <c r="H213" t="s">
        <v>707</v>
      </c>
      <c r="I213" t="s">
        <v>51</v>
      </c>
      <c r="J213">
        <v>15367.41</v>
      </c>
      <c r="K213">
        <v>255</v>
      </c>
      <c r="L213" t="s">
        <v>40</v>
      </c>
      <c r="M213" s="1">
        <v>45346</v>
      </c>
      <c r="N213" t="s">
        <v>41</v>
      </c>
      <c r="O213" t="s">
        <v>42</v>
      </c>
      <c r="P213">
        <v>17</v>
      </c>
      <c r="Q213" t="s">
        <v>31</v>
      </c>
      <c r="R213" t="s">
        <v>32</v>
      </c>
      <c r="S213">
        <v>2</v>
      </c>
      <c r="T213">
        <v>2024</v>
      </c>
      <c r="U213" t="s">
        <v>278</v>
      </c>
    </row>
    <row r="214" spans="1:21" x14ac:dyDescent="0.3">
      <c r="A214" t="s">
        <v>708</v>
      </c>
      <c r="B214">
        <v>26</v>
      </c>
      <c r="C214" t="s">
        <v>22</v>
      </c>
      <c r="D214" t="s">
        <v>56</v>
      </c>
      <c r="E214" t="s">
        <v>24</v>
      </c>
      <c r="F214" s="1">
        <v>43667</v>
      </c>
      <c r="G214" t="s">
        <v>709</v>
      </c>
      <c r="H214" t="s">
        <v>710</v>
      </c>
      <c r="I214" t="s">
        <v>39</v>
      </c>
      <c r="J214">
        <v>40190.199999999997</v>
      </c>
      <c r="K214">
        <v>315</v>
      </c>
      <c r="L214" t="s">
        <v>60</v>
      </c>
      <c r="M214" s="1">
        <v>43682</v>
      </c>
      <c r="N214" t="s">
        <v>67</v>
      </c>
      <c r="O214" t="s">
        <v>61</v>
      </c>
      <c r="P214">
        <v>15</v>
      </c>
      <c r="Q214" t="s">
        <v>31</v>
      </c>
      <c r="R214" t="s">
        <v>44</v>
      </c>
      <c r="S214">
        <v>7</v>
      </c>
      <c r="T214">
        <v>2019</v>
      </c>
      <c r="U214" t="s">
        <v>86</v>
      </c>
    </row>
    <row r="215" spans="1:21" x14ac:dyDescent="0.3">
      <c r="A215" t="s">
        <v>711</v>
      </c>
      <c r="B215">
        <v>79</v>
      </c>
      <c r="C215" t="s">
        <v>47</v>
      </c>
      <c r="D215" t="s">
        <v>56</v>
      </c>
      <c r="E215" t="s">
        <v>57</v>
      </c>
      <c r="F215" s="1">
        <v>45030</v>
      </c>
      <c r="G215" t="s">
        <v>712</v>
      </c>
      <c r="H215" t="s">
        <v>713</v>
      </c>
      <c r="I215" t="s">
        <v>51</v>
      </c>
      <c r="J215">
        <v>3872.1</v>
      </c>
      <c r="K215">
        <v>322</v>
      </c>
      <c r="L215" t="s">
        <v>60</v>
      </c>
      <c r="M215" s="1">
        <v>45034</v>
      </c>
      <c r="N215" t="s">
        <v>67</v>
      </c>
      <c r="O215" t="s">
        <v>42</v>
      </c>
      <c r="P215">
        <v>4</v>
      </c>
      <c r="Q215" t="s">
        <v>53</v>
      </c>
      <c r="R215" t="s">
        <v>100</v>
      </c>
      <c r="S215">
        <v>4</v>
      </c>
      <c r="T215">
        <v>2023</v>
      </c>
      <c r="U215" t="s">
        <v>94</v>
      </c>
    </row>
    <row r="216" spans="1:21" x14ac:dyDescent="0.3">
      <c r="A216" t="s">
        <v>714</v>
      </c>
      <c r="B216">
        <v>33</v>
      </c>
      <c r="C216" t="s">
        <v>47</v>
      </c>
      <c r="D216" t="s">
        <v>23</v>
      </c>
      <c r="E216" t="s">
        <v>115</v>
      </c>
      <c r="F216" s="1">
        <v>45308</v>
      </c>
      <c r="G216" t="s">
        <v>715</v>
      </c>
      <c r="H216" t="s">
        <v>716</v>
      </c>
      <c r="I216" t="s">
        <v>82</v>
      </c>
      <c r="J216">
        <v>3311.59</v>
      </c>
      <c r="K216">
        <v>184</v>
      </c>
      <c r="L216" t="s">
        <v>60</v>
      </c>
      <c r="M216" s="1">
        <v>45327</v>
      </c>
      <c r="N216" t="s">
        <v>99</v>
      </c>
      <c r="O216" t="s">
        <v>30</v>
      </c>
      <c r="P216">
        <v>19</v>
      </c>
      <c r="Q216" t="s">
        <v>31</v>
      </c>
      <c r="R216" t="s">
        <v>100</v>
      </c>
      <c r="S216">
        <v>1</v>
      </c>
      <c r="T216">
        <v>2024</v>
      </c>
      <c r="U216" t="s">
        <v>33</v>
      </c>
    </row>
    <row r="217" spans="1:21" x14ac:dyDescent="0.3">
      <c r="A217" t="s">
        <v>717</v>
      </c>
      <c r="B217">
        <v>34</v>
      </c>
      <c r="C217" t="s">
        <v>47</v>
      </c>
      <c r="D217" t="s">
        <v>56</v>
      </c>
      <c r="E217" t="s">
        <v>24</v>
      </c>
      <c r="F217" s="1">
        <v>43641</v>
      </c>
      <c r="G217" t="s">
        <v>718</v>
      </c>
      <c r="H217" t="s">
        <v>719</v>
      </c>
      <c r="I217" t="s">
        <v>73</v>
      </c>
      <c r="J217">
        <v>18524.87</v>
      </c>
      <c r="K217">
        <v>472</v>
      </c>
      <c r="L217" t="s">
        <v>28</v>
      </c>
      <c r="M217" s="1">
        <v>43646</v>
      </c>
      <c r="N217" t="s">
        <v>99</v>
      </c>
      <c r="O217" t="s">
        <v>61</v>
      </c>
      <c r="P217">
        <v>5</v>
      </c>
      <c r="Q217" t="s">
        <v>31</v>
      </c>
      <c r="R217" t="s">
        <v>32</v>
      </c>
      <c r="S217">
        <v>6</v>
      </c>
      <c r="T217">
        <v>2019</v>
      </c>
      <c r="U217" t="s">
        <v>118</v>
      </c>
    </row>
    <row r="218" spans="1:21" x14ac:dyDescent="0.3">
      <c r="A218" t="s">
        <v>720</v>
      </c>
      <c r="B218">
        <v>76</v>
      </c>
      <c r="C218" t="s">
        <v>47</v>
      </c>
      <c r="D218" t="s">
        <v>76</v>
      </c>
      <c r="E218" t="s">
        <v>96</v>
      </c>
      <c r="F218" s="1">
        <v>44336</v>
      </c>
      <c r="G218" t="s">
        <v>721</v>
      </c>
      <c r="H218" t="s">
        <v>722</v>
      </c>
      <c r="I218" t="s">
        <v>73</v>
      </c>
      <c r="J218">
        <v>30107.49</v>
      </c>
      <c r="K218">
        <v>494</v>
      </c>
      <c r="L218" t="s">
        <v>40</v>
      </c>
      <c r="M218" s="1">
        <v>44359</v>
      </c>
      <c r="N218" t="s">
        <v>41</v>
      </c>
      <c r="O218" t="s">
        <v>42</v>
      </c>
      <c r="P218">
        <v>23</v>
      </c>
      <c r="Q218" t="s">
        <v>53</v>
      </c>
      <c r="R218" t="s">
        <v>44</v>
      </c>
      <c r="S218">
        <v>5</v>
      </c>
      <c r="T218">
        <v>2021</v>
      </c>
      <c r="U218" t="s">
        <v>90</v>
      </c>
    </row>
    <row r="219" spans="1:21" x14ac:dyDescent="0.3">
      <c r="A219" t="s">
        <v>723</v>
      </c>
      <c r="B219">
        <v>50</v>
      </c>
      <c r="C219" t="s">
        <v>47</v>
      </c>
      <c r="D219" t="s">
        <v>23</v>
      </c>
      <c r="E219" t="s">
        <v>36</v>
      </c>
      <c r="F219" s="1">
        <v>43924</v>
      </c>
      <c r="G219" t="s">
        <v>724</v>
      </c>
      <c r="H219" t="s">
        <v>725</v>
      </c>
      <c r="I219" t="s">
        <v>73</v>
      </c>
      <c r="J219">
        <v>15826.1</v>
      </c>
      <c r="K219">
        <v>398</v>
      </c>
      <c r="L219" t="s">
        <v>40</v>
      </c>
      <c r="M219" s="1">
        <v>43932</v>
      </c>
      <c r="N219" t="s">
        <v>29</v>
      </c>
      <c r="O219" t="s">
        <v>30</v>
      </c>
      <c r="P219">
        <v>8</v>
      </c>
      <c r="Q219" t="s">
        <v>68</v>
      </c>
      <c r="R219" t="s">
        <v>32</v>
      </c>
      <c r="S219">
        <v>4</v>
      </c>
      <c r="T219">
        <v>2020</v>
      </c>
      <c r="U219" t="s">
        <v>94</v>
      </c>
    </row>
    <row r="220" spans="1:21" x14ac:dyDescent="0.3">
      <c r="A220" t="s">
        <v>726</v>
      </c>
      <c r="B220">
        <v>44</v>
      </c>
      <c r="C220" t="s">
        <v>22</v>
      </c>
      <c r="D220" t="s">
        <v>23</v>
      </c>
      <c r="E220" t="s">
        <v>57</v>
      </c>
      <c r="F220" s="1">
        <v>43851</v>
      </c>
      <c r="G220" t="s">
        <v>727</v>
      </c>
      <c r="H220" t="s">
        <v>728</v>
      </c>
      <c r="I220" t="s">
        <v>27</v>
      </c>
      <c r="J220">
        <v>26437.77</v>
      </c>
      <c r="K220">
        <v>267</v>
      </c>
      <c r="L220" t="s">
        <v>40</v>
      </c>
      <c r="M220" s="1">
        <v>43860</v>
      </c>
      <c r="N220" t="s">
        <v>41</v>
      </c>
      <c r="O220" t="s">
        <v>61</v>
      </c>
      <c r="P220">
        <v>9</v>
      </c>
      <c r="Q220" t="s">
        <v>68</v>
      </c>
      <c r="R220" t="s">
        <v>32</v>
      </c>
      <c r="S220">
        <v>1</v>
      </c>
      <c r="T220">
        <v>2020</v>
      </c>
      <c r="U220" t="s">
        <v>33</v>
      </c>
    </row>
    <row r="221" spans="1:21" x14ac:dyDescent="0.3">
      <c r="A221" t="s">
        <v>729</v>
      </c>
      <c r="B221">
        <v>38</v>
      </c>
      <c r="C221" t="s">
        <v>47</v>
      </c>
      <c r="D221" t="s">
        <v>76</v>
      </c>
      <c r="E221" t="s">
        <v>115</v>
      </c>
      <c r="F221" s="1">
        <v>44532</v>
      </c>
      <c r="G221" t="s">
        <v>730</v>
      </c>
      <c r="H221" t="s">
        <v>731</v>
      </c>
      <c r="I221" t="s">
        <v>51</v>
      </c>
      <c r="J221">
        <v>49663.45</v>
      </c>
      <c r="K221">
        <v>435</v>
      </c>
      <c r="L221" t="s">
        <v>40</v>
      </c>
      <c r="M221" s="1">
        <v>44537</v>
      </c>
      <c r="N221" t="s">
        <v>29</v>
      </c>
      <c r="O221" t="s">
        <v>30</v>
      </c>
      <c r="P221">
        <v>5</v>
      </c>
      <c r="Q221" t="s">
        <v>68</v>
      </c>
      <c r="R221" t="s">
        <v>44</v>
      </c>
      <c r="S221">
        <v>12</v>
      </c>
      <c r="T221">
        <v>2021</v>
      </c>
      <c r="U221" t="s">
        <v>74</v>
      </c>
    </row>
    <row r="222" spans="1:21" x14ac:dyDescent="0.3">
      <c r="A222" t="s">
        <v>732</v>
      </c>
      <c r="B222">
        <v>43</v>
      </c>
      <c r="C222" t="s">
        <v>22</v>
      </c>
      <c r="D222" t="s">
        <v>64</v>
      </c>
      <c r="E222" t="s">
        <v>24</v>
      </c>
      <c r="F222" s="1">
        <v>44344</v>
      </c>
      <c r="G222" t="s">
        <v>733</v>
      </c>
      <c r="H222" t="s">
        <v>734</v>
      </c>
      <c r="I222" t="s">
        <v>51</v>
      </c>
      <c r="J222">
        <v>27278.240000000002</v>
      </c>
      <c r="K222">
        <v>174</v>
      </c>
      <c r="L222" t="s">
        <v>28</v>
      </c>
      <c r="M222" s="1">
        <v>44365</v>
      </c>
      <c r="N222" t="s">
        <v>41</v>
      </c>
      <c r="O222" t="s">
        <v>61</v>
      </c>
      <c r="P222">
        <v>21</v>
      </c>
      <c r="Q222" t="s">
        <v>68</v>
      </c>
      <c r="R222" t="s">
        <v>32</v>
      </c>
      <c r="S222">
        <v>5</v>
      </c>
      <c r="T222">
        <v>2021</v>
      </c>
      <c r="U222" t="s">
        <v>90</v>
      </c>
    </row>
    <row r="223" spans="1:21" x14ac:dyDescent="0.3">
      <c r="A223" t="s">
        <v>735</v>
      </c>
      <c r="B223">
        <v>27</v>
      </c>
      <c r="C223" t="s">
        <v>47</v>
      </c>
      <c r="D223" t="s">
        <v>64</v>
      </c>
      <c r="E223" t="s">
        <v>96</v>
      </c>
      <c r="F223" s="1">
        <v>43913</v>
      </c>
      <c r="G223" t="s">
        <v>736</v>
      </c>
      <c r="H223" t="s">
        <v>737</v>
      </c>
      <c r="I223" t="s">
        <v>82</v>
      </c>
      <c r="J223">
        <v>33170.44</v>
      </c>
      <c r="K223">
        <v>137</v>
      </c>
      <c r="L223" t="s">
        <v>28</v>
      </c>
      <c r="M223" s="1">
        <v>43932</v>
      </c>
      <c r="N223" t="s">
        <v>29</v>
      </c>
      <c r="O223" t="s">
        <v>61</v>
      </c>
      <c r="P223">
        <v>19</v>
      </c>
      <c r="Q223" t="s">
        <v>31</v>
      </c>
      <c r="R223" t="s">
        <v>44</v>
      </c>
      <c r="S223">
        <v>3</v>
      </c>
      <c r="T223">
        <v>2020</v>
      </c>
      <c r="U223" t="s">
        <v>122</v>
      </c>
    </row>
    <row r="224" spans="1:21" x14ac:dyDescent="0.3">
      <c r="A224" t="s">
        <v>738</v>
      </c>
      <c r="B224">
        <v>78</v>
      </c>
      <c r="C224" t="s">
        <v>22</v>
      </c>
      <c r="D224" t="s">
        <v>35</v>
      </c>
      <c r="E224" t="s">
        <v>70</v>
      </c>
      <c r="F224" s="1">
        <v>44779</v>
      </c>
      <c r="G224" t="s">
        <v>739</v>
      </c>
      <c r="H224" t="s">
        <v>740</v>
      </c>
      <c r="I224" t="s">
        <v>39</v>
      </c>
      <c r="J224">
        <v>1791.39</v>
      </c>
      <c r="K224">
        <v>405</v>
      </c>
      <c r="L224" t="s">
        <v>28</v>
      </c>
      <c r="M224" s="1">
        <v>44809</v>
      </c>
      <c r="N224" t="s">
        <v>29</v>
      </c>
      <c r="O224" t="s">
        <v>30</v>
      </c>
      <c r="P224">
        <v>30</v>
      </c>
      <c r="Q224" t="s">
        <v>53</v>
      </c>
      <c r="R224" t="s">
        <v>100</v>
      </c>
      <c r="S224">
        <v>8</v>
      </c>
      <c r="T224">
        <v>2022</v>
      </c>
      <c r="U224" t="s">
        <v>45</v>
      </c>
    </row>
    <row r="225" spans="1:21" x14ac:dyDescent="0.3">
      <c r="A225" t="s">
        <v>741</v>
      </c>
      <c r="B225">
        <v>40</v>
      </c>
      <c r="C225" t="s">
        <v>22</v>
      </c>
      <c r="D225" t="s">
        <v>35</v>
      </c>
      <c r="E225" t="s">
        <v>57</v>
      </c>
      <c r="F225" s="1">
        <v>45360</v>
      </c>
      <c r="G225" t="s">
        <v>742</v>
      </c>
      <c r="H225" t="s">
        <v>743</v>
      </c>
      <c r="I225" t="s">
        <v>27</v>
      </c>
      <c r="J225">
        <v>31188.04</v>
      </c>
      <c r="K225">
        <v>111</v>
      </c>
      <c r="L225" t="s">
        <v>60</v>
      </c>
      <c r="M225" s="1">
        <v>45387</v>
      </c>
      <c r="N225" t="s">
        <v>41</v>
      </c>
      <c r="O225" t="s">
        <v>30</v>
      </c>
      <c r="P225">
        <v>27</v>
      </c>
      <c r="Q225" t="s">
        <v>68</v>
      </c>
      <c r="R225" t="s">
        <v>44</v>
      </c>
      <c r="S225">
        <v>3</v>
      </c>
      <c r="T225">
        <v>2024</v>
      </c>
      <c r="U225" t="s">
        <v>122</v>
      </c>
    </row>
    <row r="226" spans="1:21" x14ac:dyDescent="0.3">
      <c r="A226" t="s">
        <v>744</v>
      </c>
      <c r="B226">
        <v>25</v>
      </c>
      <c r="C226" t="s">
        <v>22</v>
      </c>
      <c r="D226" t="s">
        <v>76</v>
      </c>
      <c r="E226" t="s">
        <v>115</v>
      </c>
      <c r="F226" s="1">
        <v>44635</v>
      </c>
      <c r="G226" t="s">
        <v>745</v>
      </c>
      <c r="H226" t="s">
        <v>746</v>
      </c>
      <c r="I226" t="s">
        <v>39</v>
      </c>
      <c r="J226">
        <v>13854.65</v>
      </c>
      <c r="K226">
        <v>328</v>
      </c>
      <c r="L226" t="s">
        <v>60</v>
      </c>
      <c r="M226" s="1">
        <v>44661</v>
      </c>
      <c r="N226" t="s">
        <v>67</v>
      </c>
      <c r="O226" t="s">
        <v>42</v>
      </c>
      <c r="P226">
        <v>26</v>
      </c>
      <c r="Q226" t="s">
        <v>31</v>
      </c>
      <c r="R226" t="s">
        <v>32</v>
      </c>
      <c r="S226">
        <v>3</v>
      </c>
      <c r="T226">
        <v>2022</v>
      </c>
      <c r="U226" t="s">
        <v>122</v>
      </c>
    </row>
    <row r="227" spans="1:21" x14ac:dyDescent="0.3">
      <c r="A227" t="s">
        <v>747</v>
      </c>
      <c r="B227">
        <v>67</v>
      </c>
      <c r="C227" t="s">
        <v>47</v>
      </c>
      <c r="D227" t="s">
        <v>64</v>
      </c>
      <c r="E227" t="s">
        <v>36</v>
      </c>
      <c r="F227" s="1">
        <v>44051</v>
      </c>
      <c r="G227" t="s">
        <v>748</v>
      </c>
      <c r="H227" t="s">
        <v>749</v>
      </c>
      <c r="I227" t="s">
        <v>27</v>
      </c>
      <c r="J227">
        <v>11870.91</v>
      </c>
      <c r="K227">
        <v>196</v>
      </c>
      <c r="L227" t="s">
        <v>60</v>
      </c>
      <c r="M227" s="1">
        <v>44057</v>
      </c>
      <c r="N227" t="s">
        <v>41</v>
      </c>
      <c r="O227" t="s">
        <v>61</v>
      </c>
      <c r="P227">
        <v>6</v>
      </c>
      <c r="Q227" t="s">
        <v>43</v>
      </c>
      <c r="R227" t="s">
        <v>32</v>
      </c>
      <c r="S227">
        <v>8</v>
      </c>
      <c r="T227">
        <v>2020</v>
      </c>
      <c r="U227" t="s">
        <v>45</v>
      </c>
    </row>
    <row r="228" spans="1:21" x14ac:dyDescent="0.3">
      <c r="A228" t="s">
        <v>750</v>
      </c>
      <c r="B228">
        <v>47</v>
      </c>
      <c r="C228" t="s">
        <v>47</v>
      </c>
      <c r="D228" t="s">
        <v>64</v>
      </c>
      <c r="E228" t="s">
        <v>36</v>
      </c>
      <c r="F228" s="1">
        <v>43625</v>
      </c>
      <c r="G228" t="s">
        <v>751</v>
      </c>
      <c r="H228" t="s">
        <v>752</v>
      </c>
      <c r="I228" t="s">
        <v>73</v>
      </c>
      <c r="J228">
        <v>25574.13</v>
      </c>
      <c r="K228">
        <v>464</v>
      </c>
      <c r="L228" t="s">
        <v>60</v>
      </c>
      <c r="M228" s="1">
        <v>43647</v>
      </c>
      <c r="N228" t="s">
        <v>52</v>
      </c>
      <c r="O228" t="s">
        <v>42</v>
      </c>
      <c r="P228">
        <v>22</v>
      </c>
      <c r="Q228" t="s">
        <v>68</v>
      </c>
      <c r="R228" t="s">
        <v>32</v>
      </c>
      <c r="S228">
        <v>6</v>
      </c>
      <c r="T228">
        <v>2019</v>
      </c>
      <c r="U228" t="s">
        <v>118</v>
      </c>
    </row>
    <row r="229" spans="1:21" x14ac:dyDescent="0.3">
      <c r="A229" t="s">
        <v>753</v>
      </c>
      <c r="B229">
        <v>75</v>
      </c>
      <c r="C229" t="s">
        <v>22</v>
      </c>
      <c r="D229" t="s">
        <v>76</v>
      </c>
      <c r="E229" t="s">
        <v>115</v>
      </c>
      <c r="F229" s="1">
        <v>43715</v>
      </c>
      <c r="G229" t="s">
        <v>754</v>
      </c>
      <c r="H229" t="s">
        <v>755</v>
      </c>
      <c r="I229" t="s">
        <v>51</v>
      </c>
      <c r="J229">
        <v>6132.4</v>
      </c>
      <c r="K229">
        <v>231</v>
      </c>
      <c r="L229" t="s">
        <v>28</v>
      </c>
      <c r="M229" s="1">
        <v>43744</v>
      </c>
      <c r="N229" t="s">
        <v>29</v>
      </c>
      <c r="O229" t="s">
        <v>30</v>
      </c>
      <c r="P229">
        <v>29</v>
      </c>
      <c r="Q229" t="s">
        <v>53</v>
      </c>
      <c r="R229" t="s">
        <v>100</v>
      </c>
      <c r="S229">
        <v>9</v>
      </c>
      <c r="T229">
        <v>2019</v>
      </c>
      <c r="U229" t="s">
        <v>54</v>
      </c>
    </row>
    <row r="230" spans="1:21" x14ac:dyDescent="0.3">
      <c r="A230" t="s">
        <v>756</v>
      </c>
      <c r="B230">
        <v>58</v>
      </c>
      <c r="C230" t="s">
        <v>47</v>
      </c>
      <c r="D230" t="s">
        <v>48</v>
      </c>
      <c r="E230" t="s">
        <v>36</v>
      </c>
      <c r="F230" s="1">
        <v>44241</v>
      </c>
      <c r="G230" t="s">
        <v>757</v>
      </c>
      <c r="H230" t="s">
        <v>758</v>
      </c>
      <c r="I230" t="s">
        <v>39</v>
      </c>
      <c r="J230">
        <v>33343.9</v>
      </c>
      <c r="K230">
        <v>117</v>
      </c>
      <c r="L230" t="s">
        <v>60</v>
      </c>
      <c r="M230" s="1">
        <v>44253</v>
      </c>
      <c r="N230" t="s">
        <v>99</v>
      </c>
      <c r="O230" t="s">
        <v>42</v>
      </c>
      <c r="P230">
        <v>12</v>
      </c>
      <c r="Q230" t="s">
        <v>43</v>
      </c>
      <c r="R230" t="s">
        <v>44</v>
      </c>
      <c r="S230">
        <v>2</v>
      </c>
      <c r="T230">
        <v>2021</v>
      </c>
      <c r="U230" t="s">
        <v>278</v>
      </c>
    </row>
    <row r="231" spans="1:21" x14ac:dyDescent="0.3">
      <c r="A231" t="s">
        <v>759</v>
      </c>
      <c r="B231">
        <v>26</v>
      </c>
      <c r="C231" t="s">
        <v>47</v>
      </c>
      <c r="D231" t="s">
        <v>48</v>
      </c>
      <c r="E231" t="s">
        <v>96</v>
      </c>
      <c r="F231" s="1">
        <v>43779</v>
      </c>
      <c r="G231" t="s">
        <v>760</v>
      </c>
      <c r="H231" t="s">
        <v>761</v>
      </c>
      <c r="I231" t="s">
        <v>39</v>
      </c>
      <c r="J231">
        <v>43484.25</v>
      </c>
      <c r="K231">
        <v>244</v>
      </c>
      <c r="L231" t="s">
        <v>28</v>
      </c>
      <c r="M231" s="1">
        <v>43795</v>
      </c>
      <c r="N231" t="s">
        <v>67</v>
      </c>
      <c r="O231" t="s">
        <v>61</v>
      </c>
      <c r="P231">
        <v>16</v>
      </c>
      <c r="Q231" t="s">
        <v>31</v>
      </c>
      <c r="R231" t="s">
        <v>44</v>
      </c>
      <c r="S231">
        <v>11</v>
      </c>
      <c r="T231">
        <v>2019</v>
      </c>
      <c r="U231" t="s">
        <v>62</v>
      </c>
    </row>
    <row r="232" spans="1:21" x14ac:dyDescent="0.3">
      <c r="A232" t="s">
        <v>762</v>
      </c>
      <c r="B232">
        <v>22</v>
      </c>
      <c r="C232" t="s">
        <v>22</v>
      </c>
      <c r="D232" t="s">
        <v>56</v>
      </c>
      <c r="E232" t="s">
        <v>36</v>
      </c>
      <c r="F232" s="1">
        <v>45032</v>
      </c>
      <c r="G232" t="s">
        <v>763</v>
      </c>
      <c r="H232" t="s">
        <v>764</v>
      </c>
      <c r="I232" t="s">
        <v>73</v>
      </c>
      <c r="J232">
        <v>7858.93</v>
      </c>
      <c r="K232">
        <v>414</v>
      </c>
      <c r="L232" t="s">
        <v>28</v>
      </c>
      <c r="M232" s="1">
        <v>45060</v>
      </c>
      <c r="N232" t="s">
        <v>67</v>
      </c>
      <c r="O232" t="s">
        <v>30</v>
      </c>
      <c r="P232">
        <v>28</v>
      </c>
      <c r="Q232" t="s">
        <v>31</v>
      </c>
      <c r="R232" t="s">
        <v>100</v>
      </c>
      <c r="S232">
        <v>4</v>
      </c>
      <c r="T232">
        <v>2023</v>
      </c>
      <c r="U232" t="s">
        <v>94</v>
      </c>
    </row>
    <row r="233" spans="1:21" x14ac:dyDescent="0.3">
      <c r="A233" t="s">
        <v>765</v>
      </c>
      <c r="B233">
        <v>29</v>
      </c>
      <c r="C233" t="s">
        <v>47</v>
      </c>
      <c r="D233" t="s">
        <v>127</v>
      </c>
      <c r="E233" t="s">
        <v>70</v>
      </c>
      <c r="F233" s="1">
        <v>43946</v>
      </c>
      <c r="G233" t="s">
        <v>766</v>
      </c>
      <c r="H233" t="s">
        <v>767</v>
      </c>
      <c r="I233" t="s">
        <v>82</v>
      </c>
      <c r="J233">
        <v>33161.94</v>
      </c>
      <c r="K233">
        <v>493</v>
      </c>
      <c r="L233" t="s">
        <v>28</v>
      </c>
      <c r="M233" s="1">
        <v>43949</v>
      </c>
      <c r="N233" t="s">
        <v>29</v>
      </c>
      <c r="O233" t="s">
        <v>42</v>
      </c>
      <c r="P233">
        <v>3</v>
      </c>
      <c r="Q233" t="s">
        <v>31</v>
      </c>
      <c r="R233" t="s">
        <v>44</v>
      </c>
      <c r="S233">
        <v>4</v>
      </c>
      <c r="T233">
        <v>2020</v>
      </c>
      <c r="U233" t="s">
        <v>94</v>
      </c>
    </row>
    <row r="234" spans="1:21" x14ac:dyDescent="0.3">
      <c r="A234" t="s">
        <v>768</v>
      </c>
      <c r="B234">
        <v>30</v>
      </c>
      <c r="C234" t="s">
        <v>22</v>
      </c>
      <c r="D234" t="s">
        <v>48</v>
      </c>
      <c r="E234" t="s">
        <v>24</v>
      </c>
      <c r="F234" s="1">
        <v>44429</v>
      </c>
      <c r="G234" t="s">
        <v>769</v>
      </c>
      <c r="H234" t="s">
        <v>770</v>
      </c>
      <c r="I234" t="s">
        <v>82</v>
      </c>
      <c r="J234">
        <v>2879.46</v>
      </c>
      <c r="K234">
        <v>183</v>
      </c>
      <c r="L234" t="s">
        <v>28</v>
      </c>
      <c r="M234" s="1">
        <v>44436</v>
      </c>
      <c r="N234" t="s">
        <v>41</v>
      </c>
      <c r="O234" t="s">
        <v>30</v>
      </c>
      <c r="P234">
        <v>7</v>
      </c>
      <c r="Q234" t="s">
        <v>31</v>
      </c>
      <c r="R234" t="s">
        <v>100</v>
      </c>
      <c r="S234">
        <v>8</v>
      </c>
      <c r="T234">
        <v>2021</v>
      </c>
      <c r="U234" t="s">
        <v>45</v>
      </c>
    </row>
    <row r="235" spans="1:21" x14ac:dyDescent="0.3">
      <c r="A235" t="s">
        <v>771</v>
      </c>
      <c r="B235">
        <v>22</v>
      </c>
      <c r="C235" t="s">
        <v>47</v>
      </c>
      <c r="D235" t="s">
        <v>56</v>
      </c>
      <c r="E235" t="s">
        <v>70</v>
      </c>
      <c r="F235" s="1">
        <v>44210</v>
      </c>
      <c r="G235" t="s">
        <v>772</v>
      </c>
      <c r="H235" t="s">
        <v>290</v>
      </c>
      <c r="I235" t="s">
        <v>51</v>
      </c>
      <c r="J235">
        <v>46492.86</v>
      </c>
      <c r="K235">
        <v>471</v>
      </c>
      <c r="L235" t="s">
        <v>60</v>
      </c>
      <c r="M235" s="1">
        <v>44223</v>
      </c>
      <c r="N235" t="s">
        <v>52</v>
      </c>
      <c r="O235" t="s">
        <v>42</v>
      </c>
      <c r="P235">
        <v>13</v>
      </c>
      <c r="Q235" t="s">
        <v>31</v>
      </c>
      <c r="R235" t="s">
        <v>44</v>
      </c>
      <c r="S235">
        <v>1</v>
      </c>
      <c r="T235">
        <v>2021</v>
      </c>
      <c r="U235" t="s">
        <v>33</v>
      </c>
    </row>
    <row r="236" spans="1:21" x14ac:dyDescent="0.3">
      <c r="A236" t="s">
        <v>773</v>
      </c>
      <c r="B236">
        <v>34</v>
      </c>
      <c r="C236" t="s">
        <v>22</v>
      </c>
      <c r="D236" t="s">
        <v>64</v>
      </c>
      <c r="E236" t="s">
        <v>96</v>
      </c>
      <c r="F236" s="1">
        <v>44086</v>
      </c>
      <c r="G236" t="s">
        <v>774</v>
      </c>
      <c r="H236" t="s">
        <v>775</v>
      </c>
      <c r="I236" t="s">
        <v>51</v>
      </c>
      <c r="J236">
        <v>5259.27</v>
      </c>
      <c r="K236">
        <v>341</v>
      </c>
      <c r="L236" t="s">
        <v>60</v>
      </c>
      <c r="M236" s="1">
        <v>44100</v>
      </c>
      <c r="N236" t="s">
        <v>29</v>
      </c>
      <c r="O236" t="s">
        <v>61</v>
      </c>
      <c r="P236">
        <v>14</v>
      </c>
      <c r="Q236" t="s">
        <v>31</v>
      </c>
      <c r="R236" t="s">
        <v>100</v>
      </c>
      <c r="S236">
        <v>9</v>
      </c>
      <c r="T236">
        <v>2020</v>
      </c>
      <c r="U236" t="s">
        <v>54</v>
      </c>
    </row>
    <row r="237" spans="1:21" x14ac:dyDescent="0.3">
      <c r="A237" t="s">
        <v>776</v>
      </c>
      <c r="B237">
        <v>20</v>
      </c>
      <c r="C237" t="s">
        <v>22</v>
      </c>
      <c r="D237" t="s">
        <v>64</v>
      </c>
      <c r="E237" t="s">
        <v>115</v>
      </c>
      <c r="F237" s="1">
        <v>43917</v>
      </c>
      <c r="G237" t="s">
        <v>777</v>
      </c>
      <c r="H237" t="s">
        <v>778</v>
      </c>
      <c r="I237" t="s">
        <v>73</v>
      </c>
      <c r="J237">
        <v>2784.58</v>
      </c>
      <c r="K237">
        <v>164</v>
      </c>
      <c r="L237" t="s">
        <v>40</v>
      </c>
      <c r="M237" s="1">
        <v>43937</v>
      </c>
      <c r="N237" t="s">
        <v>52</v>
      </c>
      <c r="O237" t="s">
        <v>42</v>
      </c>
      <c r="P237">
        <v>20</v>
      </c>
      <c r="Q237" t="s">
        <v>31</v>
      </c>
      <c r="R237" t="s">
        <v>100</v>
      </c>
      <c r="S237">
        <v>3</v>
      </c>
      <c r="T237">
        <v>2020</v>
      </c>
      <c r="U237" t="s">
        <v>122</v>
      </c>
    </row>
    <row r="238" spans="1:21" x14ac:dyDescent="0.3">
      <c r="A238" t="s">
        <v>779</v>
      </c>
      <c r="B238">
        <v>37</v>
      </c>
      <c r="C238" t="s">
        <v>47</v>
      </c>
      <c r="D238" t="s">
        <v>48</v>
      </c>
      <c r="E238" t="s">
        <v>115</v>
      </c>
      <c r="F238" s="1">
        <v>43672</v>
      </c>
      <c r="G238" t="s">
        <v>780</v>
      </c>
      <c r="H238" t="s">
        <v>781</v>
      </c>
      <c r="I238" t="s">
        <v>51</v>
      </c>
      <c r="J238">
        <v>13418.22</v>
      </c>
      <c r="K238">
        <v>102</v>
      </c>
      <c r="L238" t="s">
        <v>40</v>
      </c>
      <c r="M238" s="1">
        <v>43694</v>
      </c>
      <c r="N238" t="s">
        <v>67</v>
      </c>
      <c r="O238" t="s">
        <v>61</v>
      </c>
      <c r="P238">
        <v>22</v>
      </c>
      <c r="Q238" t="s">
        <v>68</v>
      </c>
      <c r="R238" t="s">
        <v>32</v>
      </c>
      <c r="S238">
        <v>7</v>
      </c>
      <c r="T238">
        <v>2019</v>
      </c>
      <c r="U238" t="s">
        <v>86</v>
      </c>
    </row>
    <row r="239" spans="1:21" x14ac:dyDescent="0.3">
      <c r="A239" t="s">
        <v>782</v>
      </c>
      <c r="B239">
        <v>25</v>
      </c>
      <c r="C239" t="s">
        <v>47</v>
      </c>
      <c r="D239" t="s">
        <v>35</v>
      </c>
      <c r="E239" t="s">
        <v>24</v>
      </c>
      <c r="F239" s="1">
        <v>45267</v>
      </c>
      <c r="G239" t="s">
        <v>783</v>
      </c>
      <c r="H239" t="s">
        <v>784</v>
      </c>
      <c r="I239" t="s">
        <v>27</v>
      </c>
      <c r="J239">
        <v>36990.46</v>
      </c>
      <c r="K239">
        <v>356</v>
      </c>
      <c r="L239" t="s">
        <v>28</v>
      </c>
      <c r="M239" s="1">
        <v>45274</v>
      </c>
      <c r="N239" t="s">
        <v>52</v>
      </c>
      <c r="O239" t="s">
        <v>30</v>
      </c>
      <c r="P239">
        <v>7</v>
      </c>
      <c r="Q239" t="s">
        <v>31</v>
      </c>
      <c r="R239" t="s">
        <v>44</v>
      </c>
      <c r="S239">
        <v>12</v>
      </c>
      <c r="T239">
        <v>2023</v>
      </c>
      <c r="U239" t="s">
        <v>74</v>
      </c>
    </row>
    <row r="240" spans="1:21" x14ac:dyDescent="0.3">
      <c r="A240" t="s">
        <v>785</v>
      </c>
      <c r="B240">
        <v>45</v>
      </c>
      <c r="C240" t="s">
        <v>47</v>
      </c>
      <c r="D240" t="s">
        <v>23</v>
      </c>
      <c r="E240" t="s">
        <v>24</v>
      </c>
      <c r="F240" s="1">
        <v>44358</v>
      </c>
      <c r="G240" t="s">
        <v>786</v>
      </c>
      <c r="H240" t="s">
        <v>787</v>
      </c>
      <c r="I240" t="s">
        <v>51</v>
      </c>
      <c r="J240">
        <v>43567.14</v>
      </c>
      <c r="K240">
        <v>325</v>
      </c>
      <c r="L240" t="s">
        <v>28</v>
      </c>
      <c r="M240" s="1">
        <v>44380</v>
      </c>
      <c r="N240" t="s">
        <v>29</v>
      </c>
      <c r="O240" t="s">
        <v>30</v>
      </c>
      <c r="P240">
        <v>22</v>
      </c>
      <c r="Q240" t="s">
        <v>68</v>
      </c>
      <c r="R240" t="s">
        <v>44</v>
      </c>
      <c r="S240">
        <v>6</v>
      </c>
      <c r="T240">
        <v>2021</v>
      </c>
      <c r="U240" t="s">
        <v>118</v>
      </c>
    </row>
    <row r="241" spans="1:21" x14ac:dyDescent="0.3">
      <c r="A241" t="s">
        <v>788</v>
      </c>
      <c r="B241">
        <v>18</v>
      </c>
      <c r="C241" t="s">
        <v>22</v>
      </c>
      <c r="D241" t="s">
        <v>149</v>
      </c>
      <c r="E241" t="s">
        <v>57</v>
      </c>
      <c r="F241" s="1">
        <v>44603</v>
      </c>
      <c r="G241" t="s">
        <v>789</v>
      </c>
      <c r="H241" t="s">
        <v>790</v>
      </c>
      <c r="I241" t="s">
        <v>73</v>
      </c>
      <c r="J241">
        <v>35570.080000000002</v>
      </c>
      <c r="K241">
        <v>497</v>
      </c>
      <c r="L241" t="s">
        <v>40</v>
      </c>
      <c r="M241" s="1">
        <v>44615</v>
      </c>
      <c r="N241" t="s">
        <v>41</v>
      </c>
      <c r="O241" t="s">
        <v>42</v>
      </c>
      <c r="P241">
        <v>12</v>
      </c>
      <c r="Q241" t="s">
        <v>31</v>
      </c>
      <c r="R241" t="s">
        <v>44</v>
      </c>
      <c r="S241">
        <v>2</v>
      </c>
      <c r="T241">
        <v>2022</v>
      </c>
      <c r="U241" t="s">
        <v>278</v>
      </c>
    </row>
    <row r="242" spans="1:21" x14ac:dyDescent="0.3">
      <c r="A242" t="s">
        <v>791</v>
      </c>
      <c r="B242">
        <v>56</v>
      </c>
      <c r="C242" t="s">
        <v>22</v>
      </c>
      <c r="D242" t="s">
        <v>56</v>
      </c>
      <c r="E242" t="s">
        <v>115</v>
      </c>
      <c r="F242" s="1">
        <v>44086</v>
      </c>
      <c r="G242" t="s">
        <v>792</v>
      </c>
      <c r="H242" t="s">
        <v>793</v>
      </c>
      <c r="I242" t="s">
        <v>27</v>
      </c>
      <c r="J242">
        <v>6848.13</v>
      </c>
      <c r="K242">
        <v>421</v>
      </c>
      <c r="L242" t="s">
        <v>40</v>
      </c>
      <c r="M242" s="1">
        <v>44096</v>
      </c>
      <c r="N242" t="s">
        <v>52</v>
      </c>
      <c r="O242" t="s">
        <v>30</v>
      </c>
      <c r="P242">
        <v>10</v>
      </c>
      <c r="Q242" t="s">
        <v>43</v>
      </c>
      <c r="R242" t="s">
        <v>100</v>
      </c>
      <c r="S242">
        <v>9</v>
      </c>
      <c r="T242">
        <v>2020</v>
      </c>
      <c r="U242" t="s">
        <v>54</v>
      </c>
    </row>
    <row r="243" spans="1:21" x14ac:dyDescent="0.3">
      <c r="A243" t="s">
        <v>794</v>
      </c>
      <c r="B243">
        <v>44</v>
      </c>
      <c r="C243" t="s">
        <v>22</v>
      </c>
      <c r="D243" t="s">
        <v>76</v>
      </c>
      <c r="E243" t="s">
        <v>70</v>
      </c>
      <c r="F243" s="1">
        <v>43976</v>
      </c>
      <c r="G243" t="s">
        <v>795</v>
      </c>
      <c r="H243" t="s">
        <v>796</v>
      </c>
      <c r="I243" t="s">
        <v>51</v>
      </c>
      <c r="J243">
        <v>4677.6000000000004</v>
      </c>
      <c r="K243">
        <v>488</v>
      </c>
      <c r="L243" t="s">
        <v>40</v>
      </c>
      <c r="M243" s="1">
        <v>43987</v>
      </c>
      <c r="N243" t="s">
        <v>99</v>
      </c>
      <c r="O243" t="s">
        <v>42</v>
      </c>
      <c r="P243">
        <v>11</v>
      </c>
      <c r="Q243" t="s">
        <v>68</v>
      </c>
      <c r="R243" t="s">
        <v>100</v>
      </c>
      <c r="S243">
        <v>5</v>
      </c>
      <c r="T243">
        <v>2020</v>
      </c>
      <c r="U243" t="s">
        <v>90</v>
      </c>
    </row>
    <row r="244" spans="1:21" x14ac:dyDescent="0.3">
      <c r="A244" t="s">
        <v>797</v>
      </c>
      <c r="B244">
        <v>34</v>
      </c>
      <c r="C244" t="s">
        <v>22</v>
      </c>
      <c r="D244" t="s">
        <v>56</v>
      </c>
      <c r="E244" t="s">
        <v>96</v>
      </c>
      <c r="F244" s="1">
        <v>45194</v>
      </c>
      <c r="G244" t="s">
        <v>798</v>
      </c>
      <c r="H244" t="s">
        <v>799</v>
      </c>
      <c r="I244" t="s">
        <v>51</v>
      </c>
      <c r="J244">
        <v>35157.17</v>
      </c>
      <c r="K244">
        <v>328</v>
      </c>
      <c r="L244" t="s">
        <v>60</v>
      </c>
      <c r="M244" s="1">
        <v>45220</v>
      </c>
      <c r="N244" t="s">
        <v>67</v>
      </c>
      <c r="O244" t="s">
        <v>30</v>
      </c>
      <c r="P244">
        <v>26</v>
      </c>
      <c r="Q244" t="s">
        <v>31</v>
      </c>
      <c r="R244" t="s">
        <v>44</v>
      </c>
      <c r="S244">
        <v>9</v>
      </c>
      <c r="T244">
        <v>2023</v>
      </c>
      <c r="U244" t="s">
        <v>54</v>
      </c>
    </row>
    <row r="245" spans="1:21" x14ac:dyDescent="0.3">
      <c r="A245" t="s">
        <v>800</v>
      </c>
      <c r="B245">
        <v>26</v>
      </c>
      <c r="C245" t="s">
        <v>22</v>
      </c>
      <c r="D245" t="s">
        <v>127</v>
      </c>
      <c r="E245" t="s">
        <v>36</v>
      </c>
      <c r="F245" s="1">
        <v>44734</v>
      </c>
      <c r="G245" t="s">
        <v>801</v>
      </c>
      <c r="H245" t="s">
        <v>802</v>
      </c>
      <c r="I245" t="s">
        <v>73</v>
      </c>
      <c r="J245">
        <v>34719.17</v>
      </c>
      <c r="K245">
        <v>317</v>
      </c>
      <c r="L245" t="s">
        <v>60</v>
      </c>
      <c r="M245" s="1">
        <v>44762</v>
      </c>
      <c r="N245" t="s">
        <v>99</v>
      </c>
      <c r="O245" t="s">
        <v>30</v>
      </c>
      <c r="P245">
        <v>28</v>
      </c>
      <c r="Q245" t="s">
        <v>31</v>
      </c>
      <c r="R245" t="s">
        <v>44</v>
      </c>
      <c r="S245">
        <v>6</v>
      </c>
      <c r="T245">
        <v>2022</v>
      </c>
      <c r="U245" t="s">
        <v>118</v>
      </c>
    </row>
    <row r="246" spans="1:21" x14ac:dyDescent="0.3">
      <c r="A246" t="s">
        <v>803</v>
      </c>
      <c r="B246">
        <v>32</v>
      </c>
      <c r="C246" t="s">
        <v>22</v>
      </c>
      <c r="D246" t="s">
        <v>56</v>
      </c>
      <c r="E246" t="s">
        <v>36</v>
      </c>
      <c r="F246" s="1">
        <v>43842</v>
      </c>
      <c r="G246" t="s">
        <v>804</v>
      </c>
      <c r="H246" t="s">
        <v>805</v>
      </c>
      <c r="I246" t="s">
        <v>51</v>
      </c>
      <c r="J246">
        <v>23775.45</v>
      </c>
      <c r="K246">
        <v>133</v>
      </c>
      <c r="L246" t="s">
        <v>60</v>
      </c>
      <c r="M246" s="1">
        <v>43849</v>
      </c>
      <c r="N246" t="s">
        <v>52</v>
      </c>
      <c r="O246" t="s">
        <v>30</v>
      </c>
      <c r="P246">
        <v>7</v>
      </c>
      <c r="Q246" t="s">
        <v>31</v>
      </c>
      <c r="R246" t="s">
        <v>32</v>
      </c>
      <c r="S246">
        <v>1</v>
      </c>
      <c r="T246">
        <v>2020</v>
      </c>
      <c r="U246" t="s">
        <v>33</v>
      </c>
    </row>
    <row r="247" spans="1:21" x14ac:dyDescent="0.3">
      <c r="A247" t="s">
        <v>806</v>
      </c>
      <c r="B247">
        <v>64</v>
      </c>
      <c r="C247" t="s">
        <v>22</v>
      </c>
      <c r="D247" t="s">
        <v>127</v>
      </c>
      <c r="E247" t="s">
        <v>115</v>
      </c>
      <c r="F247" s="1">
        <v>44771</v>
      </c>
      <c r="G247" t="s">
        <v>807</v>
      </c>
      <c r="H247" t="s">
        <v>808</v>
      </c>
      <c r="I247" t="s">
        <v>73</v>
      </c>
      <c r="J247">
        <v>17732.47</v>
      </c>
      <c r="K247">
        <v>247</v>
      </c>
      <c r="L247" t="s">
        <v>28</v>
      </c>
      <c r="M247" s="1">
        <v>44780</v>
      </c>
      <c r="N247" t="s">
        <v>41</v>
      </c>
      <c r="O247" t="s">
        <v>30</v>
      </c>
      <c r="P247">
        <v>9</v>
      </c>
      <c r="Q247" t="s">
        <v>43</v>
      </c>
      <c r="R247" t="s">
        <v>32</v>
      </c>
      <c r="S247">
        <v>7</v>
      </c>
      <c r="T247">
        <v>2022</v>
      </c>
      <c r="U247" t="s">
        <v>86</v>
      </c>
    </row>
    <row r="248" spans="1:21" x14ac:dyDescent="0.3">
      <c r="A248" t="s">
        <v>809</v>
      </c>
      <c r="B248">
        <v>80</v>
      </c>
      <c r="C248" t="s">
        <v>22</v>
      </c>
      <c r="D248" t="s">
        <v>48</v>
      </c>
      <c r="E248" t="s">
        <v>70</v>
      </c>
      <c r="F248" s="1">
        <v>44977</v>
      </c>
      <c r="G248" t="s">
        <v>810</v>
      </c>
      <c r="H248" t="s">
        <v>811</v>
      </c>
      <c r="I248" t="s">
        <v>82</v>
      </c>
      <c r="J248">
        <v>3845.4</v>
      </c>
      <c r="K248">
        <v>158</v>
      </c>
      <c r="L248" t="s">
        <v>40</v>
      </c>
      <c r="M248" s="1">
        <v>44995</v>
      </c>
      <c r="N248" t="s">
        <v>67</v>
      </c>
      <c r="O248" t="s">
        <v>30</v>
      </c>
      <c r="P248">
        <v>18</v>
      </c>
      <c r="Q248" t="s">
        <v>53</v>
      </c>
      <c r="R248" t="s">
        <v>100</v>
      </c>
      <c r="S248">
        <v>2</v>
      </c>
      <c r="T248">
        <v>2023</v>
      </c>
      <c r="U248" t="s">
        <v>278</v>
      </c>
    </row>
    <row r="249" spans="1:21" x14ac:dyDescent="0.3">
      <c r="A249" t="s">
        <v>812</v>
      </c>
      <c r="B249">
        <v>80</v>
      </c>
      <c r="C249" t="s">
        <v>22</v>
      </c>
      <c r="D249" t="s">
        <v>48</v>
      </c>
      <c r="E249" t="s">
        <v>24</v>
      </c>
      <c r="F249" s="1">
        <v>44391</v>
      </c>
      <c r="G249" t="s">
        <v>813</v>
      </c>
      <c r="H249" t="s">
        <v>814</v>
      </c>
      <c r="I249" t="s">
        <v>27</v>
      </c>
      <c r="J249">
        <v>22401.55</v>
      </c>
      <c r="K249">
        <v>242</v>
      </c>
      <c r="L249" t="s">
        <v>60</v>
      </c>
      <c r="M249" s="1">
        <v>44401</v>
      </c>
      <c r="N249" t="s">
        <v>99</v>
      </c>
      <c r="O249" t="s">
        <v>42</v>
      </c>
      <c r="P249">
        <v>10</v>
      </c>
      <c r="Q249" t="s">
        <v>53</v>
      </c>
      <c r="R249" t="s">
        <v>32</v>
      </c>
      <c r="S249">
        <v>7</v>
      </c>
      <c r="T249">
        <v>2021</v>
      </c>
      <c r="U249" t="s">
        <v>86</v>
      </c>
    </row>
    <row r="250" spans="1:21" x14ac:dyDescent="0.3">
      <c r="A250" t="s">
        <v>815</v>
      </c>
      <c r="B250">
        <v>37</v>
      </c>
      <c r="C250" t="s">
        <v>47</v>
      </c>
      <c r="D250" t="s">
        <v>56</v>
      </c>
      <c r="E250" t="s">
        <v>96</v>
      </c>
      <c r="F250" s="1">
        <v>45399</v>
      </c>
      <c r="G250" t="s">
        <v>816</v>
      </c>
      <c r="H250" t="s">
        <v>817</v>
      </c>
      <c r="I250" t="s">
        <v>73</v>
      </c>
      <c r="J250">
        <v>23340.3</v>
      </c>
      <c r="K250">
        <v>151</v>
      </c>
      <c r="L250" t="s">
        <v>28</v>
      </c>
      <c r="M250" s="1">
        <v>45419</v>
      </c>
      <c r="N250" t="s">
        <v>52</v>
      </c>
      <c r="O250" t="s">
        <v>30</v>
      </c>
      <c r="P250">
        <v>20</v>
      </c>
      <c r="Q250" t="s">
        <v>68</v>
      </c>
      <c r="R250" t="s">
        <v>32</v>
      </c>
      <c r="S250">
        <v>4</v>
      </c>
      <c r="T250">
        <v>2024</v>
      </c>
      <c r="U250" t="s">
        <v>94</v>
      </c>
    </row>
    <row r="251" spans="1:21" x14ac:dyDescent="0.3">
      <c r="A251" t="s">
        <v>818</v>
      </c>
      <c r="B251">
        <v>52</v>
      </c>
      <c r="C251" t="s">
        <v>47</v>
      </c>
      <c r="D251" t="s">
        <v>35</v>
      </c>
      <c r="E251" t="s">
        <v>96</v>
      </c>
      <c r="F251" s="1">
        <v>44231</v>
      </c>
      <c r="G251" t="s">
        <v>819</v>
      </c>
      <c r="H251" t="s">
        <v>820</v>
      </c>
      <c r="I251" t="s">
        <v>27</v>
      </c>
      <c r="J251">
        <v>3042.41</v>
      </c>
      <c r="K251">
        <v>221</v>
      </c>
      <c r="L251" t="s">
        <v>28</v>
      </c>
      <c r="M251" s="1">
        <v>44255</v>
      </c>
      <c r="N251" t="s">
        <v>52</v>
      </c>
      <c r="O251" t="s">
        <v>61</v>
      </c>
      <c r="P251">
        <v>24</v>
      </c>
      <c r="Q251" t="s">
        <v>68</v>
      </c>
      <c r="R251" t="s">
        <v>100</v>
      </c>
      <c r="S251">
        <v>2</v>
      </c>
      <c r="T251">
        <v>2021</v>
      </c>
      <c r="U251" t="s">
        <v>278</v>
      </c>
    </row>
    <row r="252" spans="1:21" x14ac:dyDescent="0.3">
      <c r="A252" t="s">
        <v>821</v>
      </c>
      <c r="B252">
        <v>83</v>
      </c>
      <c r="C252" t="s">
        <v>47</v>
      </c>
      <c r="D252" t="s">
        <v>149</v>
      </c>
      <c r="E252" t="s">
        <v>57</v>
      </c>
      <c r="F252" s="1">
        <v>44441</v>
      </c>
      <c r="G252" t="s">
        <v>822</v>
      </c>
      <c r="H252" t="s">
        <v>823</v>
      </c>
      <c r="I252" t="s">
        <v>27</v>
      </c>
      <c r="J252">
        <v>41817.68</v>
      </c>
      <c r="K252">
        <v>223</v>
      </c>
      <c r="L252" t="s">
        <v>28</v>
      </c>
      <c r="M252" s="1">
        <v>44458</v>
      </c>
      <c r="N252" t="s">
        <v>29</v>
      </c>
      <c r="O252" t="s">
        <v>42</v>
      </c>
      <c r="P252">
        <v>17</v>
      </c>
      <c r="Q252" t="s">
        <v>53</v>
      </c>
      <c r="R252" t="s">
        <v>44</v>
      </c>
      <c r="S252">
        <v>9</v>
      </c>
      <c r="T252">
        <v>2021</v>
      </c>
      <c r="U252" t="s">
        <v>54</v>
      </c>
    </row>
    <row r="253" spans="1:21" x14ac:dyDescent="0.3">
      <c r="A253" t="s">
        <v>824</v>
      </c>
      <c r="B253">
        <v>28</v>
      </c>
      <c r="C253" t="s">
        <v>47</v>
      </c>
      <c r="D253" t="s">
        <v>23</v>
      </c>
      <c r="E253" t="s">
        <v>115</v>
      </c>
      <c r="F253" s="1">
        <v>44814</v>
      </c>
      <c r="G253" t="s">
        <v>825</v>
      </c>
      <c r="H253" t="s">
        <v>826</v>
      </c>
      <c r="I253" t="s">
        <v>82</v>
      </c>
      <c r="J253">
        <v>49700.32</v>
      </c>
      <c r="K253">
        <v>359</v>
      </c>
      <c r="L253" t="s">
        <v>60</v>
      </c>
      <c r="M253" s="1">
        <v>44835</v>
      </c>
      <c r="N253" t="s">
        <v>29</v>
      </c>
      <c r="O253" t="s">
        <v>61</v>
      </c>
      <c r="P253">
        <v>21</v>
      </c>
      <c r="Q253" t="s">
        <v>31</v>
      </c>
      <c r="R253" t="s">
        <v>44</v>
      </c>
      <c r="S253">
        <v>9</v>
      </c>
      <c r="T253">
        <v>2022</v>
      </c>
      <c r="U253" t="s">
        <v>54</v>
      </c>
    </row>
    <row r="254" spans="1:21" x14ac:dyDescent="0.3">
      <c r="A254" t="s">
        <v>827</v>
      </c>
      <c r="B254">
        <v>63</v>
      </c>
      <c r="C254" t="s">
        <v>22</v>
      </c>
      <c r="D254" t="s">
        <v>35</v>
      </c>
      <c r="E254" t="s">
        <v>57</v>
      </c>
      <c r="F254" s="1">
        <v>44890</v>
      </c>
      <c r="G254" t="s">
        <v>828</v>
      </c>
      <c r="H254" t="s">
        <v>829</v>
      </c>
      <c r="I254" t="s">
        <v>27</v>
      </c>
      <c r="J254">
        <v>45157.47</v>
      </c>
      <c r="K254">
        <v>480</v>
      </c>
      <c r="L254" t="s">
        <v>60</v>
      </c>
      <c r="M254" s="1">
        <v>44915</v>
      </c>
      <c r="N254" t="s">
        <v>99</v>
      </c>
      <c r="O254" t="s">
        <v>30</v>
      </c>
      <c r="P254">
        <v>25</v>
      </c>
      <c r="Q254" t="s">
        <v>43</v>
      </c>
      <c r="R254" t="s">
        <v>44</v>
      </c>
      <c r="S254">
        <v>11</v>
      </c>
      <c r="T254">
        <v>2022</v>
      </c>
      <c r="U254" t="s">
        <v>62</v>
      </c>
    </row>
    <row r="255" spans="1:21" x14ac:dyDescent="0.3">
      <c r="A255" t="s">
        <v>830</v>
      </c>
      <c r="B255">
        <v>85</v>
      </c>
      <c r="C255" t="s">
        <v>22</v>
      </c>
      <c r="D255" t="s">
        <v>149</v>
      </c>
      <c r="E255" t="s">
        <v>70</v>
      </c>
      <c r="F255" s="1">
        <v>45142</v>
      </c>
      <c r="G255" t="s">
        <v>831</v>
      </c>
      <c r="H255" t="s">
        <v>832</v>
      </c>
      <c r="I255" t="s">
        <v>82</v>
      </c>
      <c r="J255">
        <v>18832.099999999999</v>
      </c>
      <c r="K255">
        <v>472</v>
      </c>
      <c r="L255" t="s">
        <v>40</v>
      </c>
      <c r="M255" s="1">
        <v>45150</v>
      </c>
      <c r="N255" t="s">
        <v>41</v>
      </c>
      <c r="O255" t="s">
        <v>61</v>
      </c>
      <c r="P255">
        <v>8</v>
      </c>
      <c r="Q255" t="s">
        <v>53</v>
      </c>
      <c r="R255" t="s">
        <v>32</v>
      </c>
      <c r="S255">
        <v>8</v>
      </c>
      <c r="T255">
        <v>2023</v>
      </c>
      <c r="U255" t="s">
        <v>45</v>
      </c>
    </row>
    <row r="256" spans="1:21" x14ac:dyDescent="0.3">
      <c r="A256" t="s">
        <v>833</v>
      </c>
      <c r="B256">
        <v>37</v>
      </c>
      <c r="C256" t="s">
        <v>22</v>
      </c>
      <c r="D256" t="s">
        <v>149</v>
      </c>
      <c r="E256" t="s">
        <v>96</v>
      </c>
      <c r="F256" s="1">
        <v>44155</v>
      </c>
      <c r="G256" t="s">
        <v>834</v>
      </c>
      <c r="H256" t="s">
        <v>835</v>
      </c>
      <c r="I256" t="s">
        <v>51</v>
      </c>
      <c r="J256">
        <v>31732.13</v>
      </c>
      <c r="K256">
        <v>373</v>
      </c>
      <c r="L256" t="s">
        <v>60</v>
      </c>
      <c r="M256" s="1">
        <v>44171</v>
      </c>
      <c r="N256" t="s">
        <v>99</v>
      </c>
      <c r="O256" t="s">
        <v>30</v>
      </c>
      <c r="P256">
        <v>16</v>
      </c>
      <c r="Q256" t="s">
        <v>68</v>
      </c>
      <c r="R256" t="s">
        <v>44</v>
      </c>
      <c r="S256">
        <v>11</v>
      </c>
      <c r="T256">
        <v>2020</v>
      </c>
      <c r="U256" t="s">
        <v>62</v>
      </c>
    </row>
    <row r="257" spans="1:21" x14ac:dyDescent="0.3">
      <c r="A257" t="s">
        <v>836</v>
      </c>
      <c r="B257">
        <v>22</v>
      </c>
      <c r="C257" t="s">
        <v>22</v>
      </c>
      <c r="D257" t="s">
        <v>76</v>
      </c>
      <c r="E257" t="s">
        <v>57</v>
      </c>
      <c r="F257" s="1">
        <v>43761</v>
      </c>
      <c r="G257" t="s">
        <v>837</v>
      </c>
      <c r="H257" t="s">
        <v>838</v>
      </c>
      <c r="I257" t="s">
        <v>27</v>
      </c>
      <c r="J257">
        <v>42214.98</v>
      </c>
      <c r="K257">
        <v>370</v>
      </c>
      <c r="L257" t="s">
        <v>28</v>
      </c>
      <c r="M257" s="1">
        <v>43778</v>
      </c>
      <c r="N257" t="s">
        <v>29</v>
      </c>
      <c r="O257" t="s">
        <v>61</v>
      </c>
      <c r="P257">
        <v>17</v>
      </c>
      <c r="Q257" t="s">
        <v>31</v>
      </c>
      <c r="R257" t="s">
        <v>44</v>
      </c>
      <c r="S257">
        <v>10</v>
      </c>
      <c r="T257">
        <v>2019</v>
      </c>
      <c r="U257" t="s">
        <v>110</v>
      </c>
    </row>
    <row r="258" spans="1:21" x14ac:dyDescent="0.3">
      <c r="A258" t="s">
        <v>839</v>
      </c>
      <c r="B258">
        <v>80</v>
      </c>
      <c r="C258" t="s">
        <v>47</v>
      </c>
      <c r="D258" t="s">
        <v>64</v>
      </c>
      <c r="E258" t="s">
        <v>115</v>
      </c>
      <c r="F258" s="1">
        <v>44121</v>
      </c>
      <c r="G258" t="s">
        <v>840</v>
      </c>
      <c r="H258" t="s">
        <v>841</v>
      </c>
      <c r="I258" t="s">
        <v>39</v>
      </c>
      <c r="J258">
        <v>12400.21</v>
      </c>
      <c r="K258">
        <v>141</v>
      </c>
      <c r="L258" t="s">
        <v>60</v>
      </c>
      <c r="M258" s="1">
        <v>44133</v>
      </c>
      <c r="N258" t="s">
        <v>52</v>
      </c>
      <c r="O258" t="s">
        <v>30</v>
      </c>
      <c r="P258">
        <v>12</v>
      </c>
      <c r="Q258" t="s">
        <v>53</v>
      </c>
      <c r="R258" t="s">
        <v>32</v>
      </c>
      <c r="S258">
        <v>10</v>
      </c>
      <c r="T258">
        <v>2020</v>
      </c>
      <c r="U258" t="s">
        <v>110</v>
      </c>
    </row>
    <row r="259" spans="1:21" x14ac:dyDescent="0.3">
      <c r="A259" t="s">
        <v>842</v>
      </c>
      <c r="B259">
        <v>48</v>
      </c>
      <c r="C259" t="s">
        <v>47</v>
      </c>
      <c r="D259" t="s">
        <v>56</v>
      </c>
      <c r="E259" t="s">
        <v>115</v>
      </c>
      <c r="F259" s="1">
        <v>44922</v>
      </c>
      <c r="G259" t="s">
        <v>843</v>
      </c>
      <c r="H259" t="s">
        <v>844</v>
      </c>
      <c r="I259" t="s">
        <v>27</v>
      </c>
      <c r="J259">
        <v>1133.5899999999999</v>
      </c>
      <c r="K259">
        <v>343</v>
      </c>
      <c r="L259" t="s">
        <v>28</v>
      </c>
      <c r="M259" s="1">
        <v>44926</v>
      </c>
      <c r="N259" t="s">
        <v>67</v>
      </c>
      <c r="O259" t="s">
        <v>61</v>
      </c>
      <c r="P259">
        <v>4</v>
      </c>
      <c r="Q259" t="s">
        <v>68</v>
      </c>
      <c r="R259" t="s">
        <v>100</v>
      </c>
      <c r="S259">
        <v>12</v>
      </c>
      <c r="T259">
        <v>2022</v>
      </c>
      <c r="U259" t="s">
        <v>74</v>
      </c>
    </row>
    <row r="260" spans="1:21" x14ac:dyDescent="0.3">
      <c r="A260" t="s">
        <v>845</v>
      </c>
      <c r="B260">
        <v>29</v>
      </c>
      <c r="C260" t="s">
        <v>22</v>
      </c>
      <c r="D260" t="s">
        <v>127</v>
      </c>
      <c r="E260" t="s">
        <v>36</v>
      </c>
      <c r="F260" s="1">
        <v>45093</v>
      </c>
      <c r="G260" t="s">
        <v>846</v>
      </c>
      <c r="H260" t="s">
        <v>847</v>
      </c>
      <c r="I260" t="s">
        <v>27</v>
      </c>
      <c r="J260">
        <v>24340.32</v>
      </c>
      <c r="K260">
        <v>310</v>
      </c>
      <c r="L260" t="s">
        <v>40</v>
      </c>
      <c r="M260" s="1">
        <v>45121</v>
      </c>
      <c r="N260" t="s">
        <v>52</v>
      </c>
      <c r="O260" t="s">
        <v>42</v>
      </c>
      <c r="P260">
        <v>28</v>
      </c>
      <c r="Q260" t="s">
        <v>31</v>
      </c>
      <c r="R260" t="s">
        <v>32</v>
      </c>
      <c r="S260">
        <v>6</v>
      </c>
      <c r="T260">
        <v>2023</v>
      </c>
      <c r="U260" t="s">
        <v>118</v>
      </c>
    </row>
    <row r="261" spans="1:21" x14ac:dyDescent="0.3">
      <c r="A261" t="s">
        <v>848</v>
      </c>
      <c r="B261">
        <v>76</v>
      </c>
      <c r="C261" t="s">
        <v>22</v>
      </c>
      <c r="D261" t="s">
        <v>35</v>
      </c>
      <c r="E261" t="s">
        <v>115</v>
      </c>
      <c r="F261" s="1">
        <v>45236</v>
      </c>
      <c r="G261" t="s">
        <v>849</v>
      </c>
      <c r="H261" t="s">
        <v>850</v>
      </c>
      <c r="I261" t="s">
        <v>27</v>
      </c>
      <c r="J261">
        <v>39390.94</v>
      </c>
      <c r="K261">
        <v>319</v>
      </c>
      <c r="L261" t="s">
        <v>60</v>
      </c>
      <c r="M261" s="1">
        <v>45251</v>
      </c>
      <c r="N261" t="s">
        <v>52</v>
      </c>
      <c r="O261" t="s">
        <v>61</v>
      </c>
      <c r="P261">
        <v>15</v>
      </c>
      <c r="Q261" t="s">
        <v>53</v>
      </c>
      <c r="R261" t="s">
        <v>44</v>
      </c>
      <c r="S261">
        <v>11</v>
      </c>
      <c r="T261">
        <v>2023</v>
      </c>
      <c r="U261" t="s">
        <v>62</v>
      </c>
    </row>
    <row r="262" spans="1:21" x14ac:dyDescent="0.3">
      <c r="A262" t="s">
        <v>851</v>
      </c>
      <c r="B262">
        <v>23</v>
      </c>
      <c r="C262" t="s">
        <v>47</v>
      </c>
      <c r="D262" t="s">
        <v>35</v>
      </c>
      <c r="E262" t="s">
        <v>96</v>
      </c>
      <c r="F262" s="1">
        <v>45286</v>
      </c>
      <c r="G262" t="s">
        <v>852</v>
      </c>
      <c r="H262" t="s">
        <v>853</v>
      </c>
      <c r="I262" t="s">
        <v>39</v>
      </c>
      <c r="J262">
        <v>17012.509999999998</v>
      </c>
      <c r="K262">
        <v>121</v>
      </c>
      <c r="L262" t="s">
        <v>60</v>
      </c>
      <c r="M262" s="1">
        <v>45313</v>
      </c>
      <c r="N262" t="s">
        <v>67</v>
      </c>
      <c r="O262" t="s">
        <v>30</v>
      </c>
      <c r="P262">
        <v>27</v>
      </c>
      <c r="Q262" t="s">
        <v>31</v>
      </c>
      <c r="R262" t="s">
        <v>32</v>
      </c>
      <c r="S262">
        <v>12</v>
      </c>
      <c r="T262">
        <v>2023</v>
      </c>
      <c r="U262" t="s">
        <v>74</v>
      </c>
    </row>
    <row r="263" spans="1:21" x14ac:dyDescent="0.3">
      <c r="A263" t="s">
        <v>854</v>
      </c>
      <c r="B263">
        <v>33</v>
      </c>
      <c r="C263" t="s">
        <v>22</v>
      </c>
      <c r="D263" t="s">
        <v>23</v>
      </c>
      <c r="E263" t="s">
        <v>70</v>
      </c>
      <c r="F263" s="1">
        <v>44967</v>
      </c>
      <c r="G263" t="s">
        <v>855</v>
      </c>
      <c r="H263" t="s">
        <v>856</v>
      </c>
      <c r="I263" t="s">
        <v>82</v>
      </c>
      <c r="J263">
        <v>14493.61</v>
      </c>
      <c r="K263">
        <v>166</v>
      </c>
      <c r="L263" t="s">
        <v>40</v>
      </c>
      <c r="M263" s="1">
        <v>44990</v>
      </c>
      <c r="N263" t="s">
        <v>67</v>
      </c>
      <c r="O263" t="s">
        <v>42</v>
      </c>
      <c r="P263">
        <v>23</v>
      </c>
      <c r="Q263" t="s">
        <v>31</v>
      </c>
      <c r="R263" t="s">
        <v>32</v>
      </c>
      <c r="S263">
        <v>2</v>
      </c>
      <c r="T263">
        <v>2023</v>
      </c>
      <c r="U263" t="s">
        <v>278</v>
      </c>
    </row>
    <row r="264" spans="1:21" x14ac:dyDescent="0.3">
      <c r="A264" t="s">
        <v>857</v>
      </c>
      <c r="B264">
        <v>34</v>
      </c>
      <c r="C264" t="s">
        <v>22</v>
      </c>
      <c r="D264" t="s">
        <v>56</v>
      </c>
      <c r="E264" t="s">
        <v>96</v>
      </c>
      <c r="F264" s="1">
        <v>44013</v>
      </c>
      <c r="G264" t="s">
        <v>858</v>
      </c>
      <c r="H264" t="s">
        <v>859</v>
      </c>
      <c r="I264" t="s">
        <v>51</v>
      </c>
      <c r="J264">
        <v>32679.27</v>
      </c>
      <c r="K264">
        <v>397</v>
      </c>
      <c r="L264" t="s">
        <v>40</v>
      </c>
      <c r="M264" s="1">
        <v>44022</v>
      </c>
      <c r="N264" t="s">
        <v>29</v>
      </c>
      <c r="O264" t="s">
        <v>30</v>
      </c>
      <c r="P264">
        <v>9</v>
      </c>
      <c r="Q264" t="s">
        <v>31</v>
      </c>
      <c r="R264" t="s">
        <v>44</v>
      </c>
      <c r="S264">
        <v>7</v>
      </c>
      <c r="T264">
        <v>2020</v>
      </c>
      <c r="U264" t="s">
        <v>86</v>
      </c>
    </row>
    <row r="265" spans="1:21" x14ac:dyDescent="0.3">
      <c r="A265" t="s">
        <v>860</v>
      </c>
      <c r="B265">
        <v>44</v>
      </c>
      <c r="C265" t="s">
        <v>47</v>
      </c>
      <c r="D265" t="s">
        <v>64</v>
      </c>
      <c r="E265" t="s">
        <v>36</v>
      </c>
      <c r="F265" s="1">
        <v>45190</v>
      </c>
      <c r="G265" t="s">
        <v>861</v>
      </c>
      <c r="H265" t="s">
        <v>862</v>
      </c>
      <c r="I265" t="s">
        <v>73</v>
      </c>
      <c r="J265">
        <v>6232</v>
      </c>
      <c r="K265">
        <v>186</v>
      </c>
      <c r="L265" t="s">
        <v>40</v>
      </c>
      <c r="M265" s="1">
        <v>45194</v>
      </c>
      <c r="N265" t="s">
        <v>41</v>
      </c>
      <c r="O265" t="s">
        <v>42</v>
      </c>
      <c r="P265">
        <v>4</v>
      </c>
      <c r="Q265" t="s">
        <v>68</v>
      </c>
      <c r="R265" t="s">
        <v>100</v>
      </c>
      <c r="S265">
        <v>9</v>
      </c>
      <c r="T265">
        <v>2023</v>
      </c>
      <c r="U265" t="s">
        <v>54</v>
      </c>
    </row>
    <row r="266" spans="1:21" x14ac:dyDescent="0.3">
      <c r="A266" t="s">
        <v>863</v>
      </c>
      <c r="B266">
        <v>84</v>
      </c>
      <c r="C266" t="s">
        <v>22</v>
      </c>
      <c r="D266" t="s">
        <v>127</v>
      </c>
      <c r="E266" t="s">
        <v>57</v>
      </c>
      <c r="F266" s="1">
        <v>44160</v>
      </c>
      <c r="G266" t="s">
        <v>864</v>
      </c>
      <c r="H266" t="s">
        <v>865</v>
      </c>
      <c r="I266" t="s">
        <v>82</v>
      </c>
      <c r="J266">
        <v>22982.25</v>
      </c>
      <c r="K266">
        <v>320</v>
      </c>
      <c r="L266" t="s">
        <v>28</v>
      </c>
      <c r="M266" s="1">
        <v>44167</v>
      </c>
      <c r="N266" t="s">
        <v>41</v>
      </c>
      <c r="O266" t="s">
        <v>61</v>
      </c>
      <c r="P266">
        <v>7</v>
      </c>
      <c r="Q266" t="s">
        <v>53</v>
      </c>
      <c r="R266" t="s">
        <v>32</v>
      </c>
      <c r="S266">
        <v>11</v>
      </c>
      <c r="T266">
        <v>2020</v>
      </c>
      <c r="U266" t="s">
        <v>62</v>
      </c>
    </row>
    <row r="267" spans="1:21" x14ac:dyDescent="0.3">
      <c r="A267" t="s">
        <v>866</v>
      </c>
      <c r="B267">
        <v>25</v>
      </c>
      <c r="C267" t="s">
        <v>47</v>
      </c>
      <c r="D267" t="s">
        <v>35</v>
      </c>
      <c r="E267" t="s">
        <v>24</v>
      </c>
      <c r="F267" s="1">
        <v>44022</v>
      </c>
      <c r="G267" t="s">
        <v>867</v>
      </c>
      <c r="H267" t="s">
        <v>868</v>
      </c>
      <c r="I267" t="s">
        <v>51</v>
      </c>
      <c r="J267">
        <v>28213.82</v>
      </c>
      <c r="K267">
        <v>296</v>
      </c>
      <c r="L267" t="s">
        <v>28</v>
      </c>
      <c r="M267" s="1">
        <v>44030</v>
      </c>
      <c r="N267" t="s">
        <v>52</v>
      </c>
      <c r="O267" t="s">
        <v>61</v>
      </c>
      <c r="P267">
        <v>8</v>
      </c>
      <c r="Q267" t="s">
        <v>31</v>
      </c>
      <c r="R267" t="s">
        <v>32</v>
      </c>
      <c r="S267">
        <v>7</v>
      </c>
      <c r="T267">
        <v>2020</v>
      </c>
      <c r="U267" t="s">
        <v>86</v>
      </c>
    </row>
    <row r="268" spans="1:21" x14ac:dyDescent="0.3">
      <c r="A268" t="s">
        <v>869</v>
      </c>
      <c r="B268">
        <v>42</v>
      </c>
      <c r="C268" t="s">
        <v>22</v>
      </c>
      <c r="D268" t="s">
        <v>23</v>
      </c>
      <c r="E268" t="s">
        <v>115</v>
      </c>
      <c r="F268" s="1">
        <v>44919</v>
      </c>
      <c r="G268" t="s">
        <v>870</v>
      </c>
      <c r="H268" t="s">
        <v>871</v>
      </c>
      <c r="I268" t="s">
        <v>82</v>
      </c>
      <c r="J268">
        <v>10645.57</v>
      </c>
      <c r="K268">
        <v>251</v>
      </c>
      <c r="L268" t="s">
        <v>40</v>
      </c>
      <c r="M268" s="1">
        <v>44932</v>
      </c>
      <c r="N268" t="s">
        <v>41</v>
      </c>
      <c r="O268" t="s">
        <v>30</v>
      </c>
      <c r="P268">
        <v>13</v>
      </c>
      <c r="Q268" t="s">
        <v>68</v>
      </c>
      <c r="R268" t="s">
        <v>32</v>
      </c>
      <c r="S268">
        <v>12</v>
      </c>
      <c r="T268">
        <v>2022</v>
      </c>
      <c r="U268" t="s">
        <v>74</v>
      </c>
    </row>
    <row r="269" spans="1:21" x14ac:dyDescent="0.3">
      <c r="A269" t="s">
        <v>872</v>
      </c>
      <c r="B269">
        <v>57</v>
      </c>
      <c r="C269" t="s">
        <v>22</v>
      </c>
      <c r="D269" t="s">
        <v>127</v>
      </c>
      <c r="E269" t="s">
        <v>115</v>
      </c>
      <c r="F269" s="1">
        <v>43743</v>
      </c>
      <c r="G269" t="s">
        <v>873</v>
      </c>
      <c r="H269" t="s">
        <v>874</v>
      </c>
      <c r="I269" t="s">
        <v>27</v>
      </c>
      <c r="J269">
        <v>35041.03</v>
      </c>
      <c r="K269">
        <v>299</v>
      </c>
      <c r="L269" t="s">
        <v>60</v>
      </c>
      <c r="M269" s="1">
        <v>43758</v>
      </c>
      <c r="N269" t="s">
        <v>99</v>
      </c>
      <c r="O269" t="s">
        <v>30</v>
      </c>
      <c r="P269">
        <v>15</v>
      </c>
      <c r="Q269" t="s">
        <v>43</v>
      </c>
      <c r="R269" t="s">
        <v>44</v>
      </c>
      <c r="S269">
        <v>10</v>
      </c>
      <c r="T269">
        <v>2019</v>
      </c>
      <c r="U269" t="s">
        <v>110</v>
      </c>
    </row>
    <row r="270" spans="1:21" x14ac:dyDescent="0.3">
      <c r="A270" t="s">
        <v>875</v>
      </c>
      <c r="B270">
        <v>75</v>
      </c>
      <c r="C270" t="s">
        <v>47</v>
      </c>
      <c r="D270" t="s">
        <v>149</v>
      </c>
      <c r="E270" t="s">
        <v>115</v>
      </c>
      <c r="F270" s="1">
        <v>44633</v>
      </c>
      <c r="G270" t="s">
        <v>876</v>
      </c>
      <c r="H270" t="s">
        <v>877</v>
      </c>
      <c r="I270" t="s">
        <v>82</v>
      </c>
      <c r="J270">
        <v>45980.29</v>
      </c>
      <c r="K270">
        <v>101</v>
      </c>
      <c r="L270" t="s">
        <v>40</v>
      </c>
      <c r="M270" s="1">
        <v>44646</v>
      </c>
      <c r="N270" t="s">
        <v>52</v>
      </c>
      <c r="O270" t="s">
        <v>42</v>
      </c>
      <c r="P270">
        <v>13</v>
      </c>
      <c r="Q270" t="s">
        <v>53</v>
      </c>
      <c r="R270" t="s">
        <v>44</v>
      </c>
      <c r="S270">
        <v>3</v>
      </c>
      <c r="T270">
        <v>2022</v>
      </c>
      <c r="U270" t="s">
        <v>122</v>
      </c>
    </row>
    <row r="271" spans="1:21" x14ac:dyDescent="0.3">
      <c r="A271" t="s">
        <v>878</v>
      </c>
      <c r="B271">
        <v>24</v>
      </c>
      <c r="C271" t="s">
        <v>47</v>
      </c>
      <c r="D271" t="s">
        <v>64</v>
      </c>
      <c r="E271" t="s">
        <v>36</v>
      </c>
      <c r="F271" s="1">
        <v>43966</v>
      </c>
      <c r="G271" t="s">
        <v>879</v>
      </c>
      <c r="H271" t="s">
        <v>880</v>
      </c>
      <c r="I271" t="s">
        <v>73</v>
      </c>
      <c r="J271">
        <v>25163.82</v>
      </c>
      <c r="K271">
        <v>142</v>
      </c>
      <c r="L271" t="s">
        <v>60</v>
      </c>
      <c r="M271" s="1">
        <v>43992</v>
      </c>
      <c r="N271" t="s">
        <v>41</v>
      </c>
      <c r="O271" t="s">
        <v>30</v>
      </c>
      <c r="P271">
        <v>26</v>
      </c>
      <c r="Q271" t="s">
        <v>31</v>
      </c>
      <c r="R271" t="s">
        <v>32</v>
      </c>
      <c r="S271">
        <v>5</v>
      </c>
      <c r="T271">
        <v>2020</v>
      </c>
      <c r="U271" t="s">
        <v>90</v>
      </c>
    </row>
    <row r="272" spans="1:21" x14ac:dyDescent="0.3">
      <c r="A272" t="s">
        <v>881</v>
      </c>
      <c r="B272">
        <v>43</v>
      </c>
      <c r="C272" t="s">
        <v>47</v>
      </c>
      <c r="D272" t="s">
        <v>76</v>
      </c>
      <c r="E272" t="s">
        <v>70</v>
      </c>
      <c r="F272" s="1">
        <v>44167</v>
      </c>
      <c r="G272" t="s">
        <v>882</v>
      </c>
      <c r="H272" t="s">
        <v>883</v>
      </c>
      <c r="I272" t="s">
        <v>73</v>
      </c>
      <c r="J272">
        <v>43670.38</v>
      </c>
      <c r="K272">
        <v>181</v>
      </c>
      <c r="L272" t="s">
        <v>60</v>
      </c>
      <c r="M272" s="1">
        <v>44188</v>
      </c>
      <c r="N272" t="s">
        <v>52</v>
      </c>
      <c r="O272" t="s">
        <v>30</v>
      </c>
      <c r="P272">
        <v>21</v>
      </c>
      <c r="Q272" t="s">
        <v>68</v>
      </c>
      <c r="R272" t="s">
        <v>44</v>
      </c>
      <c r="S272">
        <v>12</v>
      </c>
      <c r="T272">
        <v>2020</v>
      </c>
      <c r="U272" t="s">
        <v>74</v>
      </c>
    </row>
    <row r="273" spans="1:21" x14ac:dyDescent="0.3">
      <c r="A273" t="s">
        <v>884</v>
      </c>
      <c r="B273">
        <v>22</v>
      </c>
      <c r="C273" t="s">
        <v>22</v>
      </c>
      <c r="D273" t="s">
        <v>64</v>
      </c>
      <c r="E273" t="s">
        <v>70</v>
      </c>
      <c r="F273" s="1">
        <v>45299</v>
      </c>
      <c r="G273" t="s">
        <v>885</v>
      </c>
      <c r="H273" t="s">
        <v>886</v>
      </c>
      <c r="I273" t="s">
        <v>73</v>
      </c>
      <c r="J273">
        <v>33706.6</v>
      </c>
      <c r="K273">
        <v>282</v>
      </c>
      <c r="L273" t="s">
        <v>40</v>
      </c>
      <c r="M273" s="1">
        <v>45306</v>
      </c>
      <c r="N273" t="s">
        <v>52</v>
      </c>
      <c r="O273" t="s">
        <v>42</v>
      </c>
      <c r="P273">
        <v>7</v>
      </c>
      <c r="Q273" t="s">
        <v>31</v>
      </c>
      <c r="R273" t="s">
        <v>44</v>
      </c>
      <c r="S273">
        <v>1</v>
      </c>
      <c r="T273">
        <v>2024</v>
      </c>
      <c r="U273" t="s">
        <v>33</v>
      </c>
    </row>
    <row r="274" spans="1:21" x14ac:dyDescent="0.3">
      <c r="A274" t="s">
        <v>887</v>
      </c>
      <c r="B274">
        <v>64</v>
      </c>
      <c r="C274" t="s">
        <v>47</v>
      </c>
      <c r="D274" t="s">
        <v>76</v>
      </c>
      <c r="E274" t="s">
        <v>115</v>
      </c>
      <c r="F274" s="1">
        <v>43693</v>
      </c>
      <c r="G274" t="s">
        <v>888</v>
      </c>
      <c r="H274" t="s">
        <v>889</v>
      </c>
      <c r="I274" t="s">
        <v>39</v>
      </c>
      <c r="J274">
        <v>5549.79</v>
      </c>
      <c r="K274">
        <v>302</v>
      </c>
      <c r="L274" t="s">
        <v>40</v>
      </c>
      <c r="M274" s="1">
        <v>43714</v>
      </c>
      <c r="N274" t="s">
        <v>41</v>
      </c>
      <c r="O274" t="s">
        <v>42</v>
      </c>
      <c r="P274">
        <v>21</v>
      </c>
      <c r="Q274" t="s">
        <v>43</v>
      </c>
      <c r="R274" t="s">
        <v>100</v>
      </c>
      <c r="S274">
        <v>8</v>
      </c>
      <c r="T274">
        <v>2019</v>
      </c>
      <c r="U274" t="s">
        <v>45</v>
      </c>
    </row>
    <row r="275" spans="1:21" x14ac:dyDescent="0.3">
      <c r="A275" t="s">
        <v>890</v>
      </c>
      <c r="B275">
        <v>66</v>
      </c>
      <c r="C275" t="s">
        <v>47</v>
      </c>
      <c r="D275" t="s">
        <v>64</v>
      </c>
      <c r="E275" t="s">
        <v>115</v>
      </c>
      <c r="F275" s="1">
        <v>45008</v>
      </c>
      <c r="G275" t="s">
        <v>891</v>
      </c>
      <c r="H275" t="s">
        <v>892</v>
      </c>
      <c r="I275" t="s">
        <v>27</v>
      </c>
      <c r="J275">
        <v>49078.47</v>
      </c>
      <c r="K275">
        <v>389</v>
      </c>
      <c r="L275" t="s">
        <v>60</v>
      </c>
      <c r="M275" s="1">
        <v>45035</v>
      </c>
      <c r="N275" t="s">
        <v>67</v>
      </c>
      <c r="O275" t="s">
        <v>61</v>
      </c>
      <c r="P275">
        <v>27</v>
      </c>
      <c r="Q275" t="s">
        <v>43</v>
      </c>
      <c r="R275" t="s">
        <v>44</v>
      </c>
      <c r="S275">
        <v>3</v>
      </c>
      <c r="T275">
        <v>2023</v>
      </c>
      <c r="U275" t="s">
        <v>122</v>
      </c>
    </row>
    <row r="276" spans="1:21" x14ac:dyDescent="0.3">
      <c r="A276" t="s">
        <v>893</v>
      </c>
      <c r="B276">
        <v>19</v>
      </c>
      <c r="C276" t="s">
        <v>22</v>
      </c>
      <c r="D276" t="s">
        <v>56</v>
      </c>
      <c r="E276" t="s">
        <v>36</v>
      </c>
      <c r="F276" s="1">
        <v>43850</v>
      </c>
      <c r="G276" t="s">
        <v>894</v>
      </c>
      <c r="H276" t="s">
        <v>895</v>
      </c>
      <c r="I276" t="s">
        <v>73</v>
      </c>
      <c r="J276">
        <v>23687.99</v>
      </c>
      <c r="K276">
        <v>481</v>
      </c>
      <c r="L276" t="s">
        <v>40</v>
      </c>
      <c r="M276" s="1">
        <v>43872</v>
      </c>
      <c r="N276" t="s">
        <v>41</v>
      </c>
      <c r="O276" t="s">
        <v>30</v>
      </c>
      <c r="P276">
        <v>22</v>
      </c>
      <c r="Q276" t="s">
        <v>31</v>
      </c>
      <c r="R276" t="s">
        <v>32</v>
      </c>
      <c r="S276">
        <v>1</v>
      </c>
      <c r="T276">
        <v>2020</v>
      </c>
      <c r="U276" t="s">
        <v>33</v>
      </c>
    </row>
    <row r="277" spans="1:21" x14ac:dyDescent="0.3">
      <c r="A277" t="s">
        <v>896</v>
      </c>
      <c r="B277">
        <v>79</v>
      </c>
      <c r="C277" t="s">
        <v>47</v>
      </c>
      <c r="D277" t="s">
        <v>23</v>
      </c>
      <c r="E277" t="s">
        <v>57</v>
      </c>
      <c r="F277" s="1">
        <v>45314</v>
      </c>
      <c r="G277" t="s">
        <v>897</v>
      </c>
      <c r="H277" t="s">
        <v>898</v>
      </c>
      <c r="I277" t="s">
        <v>73</v>
      </c>
      <c r="J277">
        <v>17720.32</v>
      </c>
      <c r="K277">
        <v>275</v>
      </c>
      <c r="L277" t="s">
        <v>60</v>
      </c>
      <c r="M277" s="1">
        <v>45344</v>
      </c>
      <c r="N277" t="s">
        <v>29</v>
      </c>
      <c r="O277" t="s">
        <v>61</v>
      </c>
      <c r="P277">
        <v>30</v>
      </c>
      <c r="Q277" t="s">
        <v>53</v>
      </c>
      <c r="R277" t="s">
        <v>32</v>
      </c>
      <c r="S277">
        <v>1</v>
      </c>
      <c r="T277">
        <v>2024</v>
      </c>
      <c r="U277" t="s">
        <v>33</v>
      </c>
    </row>
    <row r="278" spans="1:21" x14ac:dyDescent="0.3">
      <c r="A278" t="s">
        <v>899</v>
      </c>
      <c r="B278">
        <v>76</v>
      </c>
      <c r="C278" t="s">
        <v>22</v>
      </c>
      <c r="D278" t="s">
        <v>23</v>
      </c>
      <c r="E278" t="s">
        <v>70</v>
      </c>
      <c r="F278" s="1">
        <v>44915</v>
      </c>
      <c r="G278" t="s">
        <v>900</v>
      </c>
      <c r="H278" t="s">
        <v>901</v>
      </c>
      <c r="I278" t="s">
        <v>73</v>
      </c>
      <c r="J278">
        <v>27361.25</v>
      </c>
      <c r="K278">
        <v>231</v>
      </c>
      <c r="L278" t="s">
        <v>40</v>
      </c>
      <c r="M278" s="1">
        <v>44928</v>
      </c>
      <c r="N278" t="s">
        <v>29</v>
      </c>
      <c r="O278" t="s">
        <v>30</v>
      </c>
      <c r="P278">
        <v>13</v>
      </c>
      <c r="Q278" t="s">
        <v>53</v>
      </c>
      <c r="R278" t="s">
        <v>32</v>
      </c>
      <c r="S278">
        <v>12</v>
      </c>
      <c r="T278">
        <v>2022</v>
      </c>
      <c r="U278" t="s">
        <v>74</v>
      </c>
    </row>
    <row r="279" spans="1:21" x14ac:dyDescent="0.3">
      <c r="A279" t="s">
        <v>902</v>
      </c>
      <c r="B279">
        <v>37</v>
      </c>
      <c r="C279" t="s">
        <v>47</v>
      </c>
      <c r="D279" t="s">
        <v>35</v>
      </c>
      <c r="E279" t="s">
        <v>36</v>
      </c>
      <c r="F279" s="1">
        <v>44418</v>
      </c>
      <c r="G279" t="s">
        <v>903</v>
      </c>
      <c r="H279" t="s">
        <v>904</v>
      </c>
      <c r="I279" t="s">
        <v>73</v>
      </c>
      <c r="J279">
        <v>39265.65</v>
      </c>
      <c r="K279">
        <v>350</v>
      </c>
      <c r="L279" t="s">
        <v>60</v>
      </c>
      <c r="M279" s="1">
        <v>44442</v>
      </c>
      <c r="N279" t="s">
        <v>41</v>
      </c>
      <c r="O279" t="s">
        <v>30</v>
      </c>
      <c r="P279">
        <v>24</v>
      </c>
      <c r="Q279" t="s">
        <v>68</v>
      </c>
      <c r="R279" t="s">
        <v>44</v>
      </c>
      <c r="S279">
        <v>8</v>
      </c>
      <c r="T279">
        <v>2021</v>
      </c>
      <c r="U279" t="s">
        <v>45</v>
      </c>
    </row>
    <row r="280" spans="1:21" x14ac:dyDescent="0.3">
      <c r="A280" t="s">
        <v>905</v>
      </c>
      <c r="B280">
        <v>62</v>
      </c>
      <c r="C280" t="s">
        <v>22</v>
      </c>
      <c r="D280" t="s">
        <v>149</v>
      </c>
      <c r="E280" t="s">
        <v>115</v>
      </c>
      <c r="F280" s="1">
        <v>44158</v>
      </c>
      <c r="G280" t="s">
        <v>906</v>
      </c>
      <c r="H280" t="s">
        <v>907</v>
      </c>
      <c r="I280" t="s">
        <v>51</v>
      </c>
      <c r="J280">
        <v>32868.080000000002</v>
      </c>
      <c r="K280">
        <v>114</v>
      </c>
      <c r="L280" t="s">
        <v>40</v>
      </c>
      <c r="M280" s="1">
        <v>44163</v>
      </c>
      <c r="N280" t="s">
        <v>29</v>
      </c>
      <c r="O280" t="s">
        <v>42</v>
      </c>
      <c r="P280">
        <v>5</v>
      </c>
      <c r="Q280" t="s">
        <v>43</v>
      </c>
      <c r="R280" t="s">
        <v>44</v>
      </c>
      <c r="S280">
        <v>11</v>
      </c>
      <c r="T280">
        <v>2020</v>
      </c>
      <c r="U280" t="s">
        <v>62</v>
      </c>
    </row>
    <row r="281" spans="1:21" x14ac:dyDescent="0.3">
      <c r="A281" t="s">
        <v>908</v>
      </c>
      <c r="B281">
        <v>80</v>
      </c>
      <c r="C281" t="s">
        <v>22</v>
      </c>
      <c r="D281" t="s">
        <v>48</v>
      </c>
      <c r="E281" t="s">
        <v>70</v>
      </c>
      <c r="F281" s="1">
        <v>43871</v>
      </c>
      <c r="G281" t="s">
        <v>909</v>
      </c>
      <c r="H281" t="s">
        <v>910</v>
      </c>
      <c r="I281" t="s">
        <v>27</v>
      </c>
      <c r="J281">
        <v>22032.39</v>
      </c>
      <c r="K281">
        <v>262</v>
      </c>
      <c r="L281" t="s">
        <v>40</v>
      </c>
      <c r="M281" s="1">
        <v>43890</v>
      </c>
      <c r="N281" t="s">
        <v>41</v>
      </c>
      <c r="O281" t="s">
        <v>30</v>
      </c>
      <c r="P281">
        <v>19</v>
      </c>
      <c r="Q281" t="s">
        <v>53</v>
      </c>
      <c r="R281" t="s">
        <v>32</v>
      </c>
      <c r="S281">
        <v>2</v>
      </c>
      <c r="T281">
        <v>2020</v>
      </c>
      <c r="U281" t="s">
        <v>278</v>
      </c>
    </row>
    <row r="282" spans="1:21" x14ac:dyDescent="0.3">
      <c r="A282" t="s">
        <v>911</v>
      </c>
      <c r="B282">
        <v>49</v>
      </c>
      <c r="C282" t="s">
        <v>47</v>
      </c>
      <c r="D282" t="s">
        <v>35</v>
      </c>
      <c r="E282" t="s">
        <v>57</v>
      </c>
      <c r="F282" s="1">
        <v>43620</v>
      </c>
      <c r="G282" t="s">
        <v>912</v>
      </c>
      <c r="H282" t="s">
        <v>913</v>
      </c>
      <c r="I282" t="s">
        <v>27</v>
      </c>
      <c r="J282">
        <v>43165.69</v>
      </c>
      <c r="K282">
        <v>428</v>
      </c>
      <c r="L282" t="s">
        <v>60</v>
      </c>
      <c r="M282" s="1">
        <v>43633</v>
      </c>
      <c r="N282" t="s">
        <v>41</v>
      </c>
      <c r="O282" t="s">
        <v>61</v>
      </c>
      <c r="P282">
        <v>13</v>
      </c>
      <c r="Q282" t="s">
        <v>68</v>
      </c>
      <c r="R282" t="s">
        <v>44</v>
      </c>
      <c r="S282">
        <v>6</v>
      </c>
      <c r="T282">
        <v>2019</v>
      </c>
      <c r="U282" t="s">
        <v>118</v>
      </c>
    </row>
    <row r="283" spans="1:21" x14ac:dyDescent="0.3">
      <c r="A283" t="s">
        <v>914</v>
      </c>
      <c r="B283">
        <v>66</v>
      </c>
      <c r="C283" t="s">
        <v>47</v>
      </c>
      <c r="D283" t="s">
        <v>56</v>
      </c>
      <c r="E283" t="s">
        <v>36</v>
      </c>
      <c r="F283" s="1">
        <v>45193</v>
      </c>
      <c r="G283" t="s">
        <v>915</v>
      </c>
      <c r="H283" t="s">
        <v>916</v>
      </c>
      <c r="I283" t="s">
        <v>27</v>
      </c>
      <c r="J283">
        <v>1870.61</v>
      </c>
      <c r="K283">
        <v>234</v>
      </c>
      <c r="L283" t="s">
        <v>40</v>
      </c>
      <c r="M283" s="1">
        <v>45210</v>
      </c>
      <c r="N283" t="s">
        <v>67</v>
      </c>
      <c r="O283" t="s">
        <v>42</v>
      </c>
      <c r="P283">
        <v>17</v>
      </c>
      <c r="Q283" t="s">
        <v>43</v>
      </c>
      <c r="R283" t="s">
        <v>100</v>
      </c>
      <c r="S283">
        <v>9</v>
      </c>
      <c r="T283">
        <v>2023</v>
      </c>
      <c r="U283" t="s">
        <v>54</v>
      </c>
    </row>
    <row r="284" spans="1:21" x14ac:dyDescent="0.3">
      <c r="A284" t="s">
        <v>917</v>
      </c>
      <c r="B284">
        <v>50</v>
      </c>
      <c r="C284" t="s">
        <v>22</v>
      </c>
      <c r="D284" t="s">
        <v>23</v>
      </c>
      <c r="E284" t="s">
        <v>57</v>
      </c>
      <c r="F284" s="1">
        <v>44424</v>
      </c>
      <c r="G284" t="s">
        <v>918</v>
      </c>
      <c r="H284" t="s">
        <v>919</v>
      </c>
      <c r="I284" t="s">
        <v>27</v>
      </c>
      <c r="J284">
        <v>50254.2</v>
      </c>
      <c r="K284">
        <v>210</v>
      </c>
      <c r="L284" t="s">
        <v>60</v>
      </c>
      <c r="M284" s="1">
        <v>44428</v>
      </c>
      <c r="N284" t="s">
        <v>52</v>
      </c>
      <c r="O284" t="s">
        <v>42</v>
      </c>
      <c r="P284">
        <v>4</v>
      </c>
      <c r="Q284" t="s">
        <v>68</v>
      </c>
      <c r="R284" t="s">
        <v>44</v>
      </c>
      <c r="S284">
        <v>8</v>
      </c>
      <c r="T284">
        <v>2021</v>
      </c>
      <c r="U284" t="s">
        <v>45</v>
      </c>
    </row>
    <row r="285" spans="1:21" x14ac:dyDescent="0.3">
      <c r="A285" t="s">
        <v>920</v>
      </c>
      <c r="B285">
        <v>39</v>
      </c>
      <c r="C285" t="s">
        <v>22</v>
      </c>
      <c r="D285" t="s">
        <v>76</v>
      </c>
      <c r="E285" t="s">
        <v>115</v>
      </c>
      <c r="F285" s="1">
        <v>44018</v>
      </c>
      <c r="G285" t="s">
        <v>921</v>
      </c>
      <c r="H285" t="s">
        <v>922</v>
      </c>
      <c r="I285" t="s">
        <v>51</v>
      </c>
      <c r="J285">
        <v>23159.66</v>
      </c>
      <c r="K285">
        <v>333</v>
      </c>
      <c r="L285" t="s">
        <v>60</v>
      </c>
      <c r="M285" s="1">
        <v>44034</v>
      </c>
      <c r="N285" t="s">
        <v>67</v>
      </c>
      <c r="O285" t="s">
        <v>42</v>
      </c>
      <c r="P285">
        <v>16</v>
      </c>
      <c r="Q285" t="s">
        <v>68</v>
      </c>
      <c r="R285" t="s">
        <v>32</v>
      </c>
      <c r="S285">
        <v>7</v>
      </c>
      <c r="T285">
        <v>2020</v>
      </c>
      <c r="U285" t="s">
        <v>86</v>
      </c>
    </row>
    <row r="286" spans="1:21" x14ac:dyDescent="0.3">
      <c r="A286" t="s">
        <v>923</v>
      </c>
      <c r="B286">
        <v>31</v>
      </c>
      <c r="C286" t="s">
        <v>47</v>
      </c>
      <c r="D286" t="s">
        <v>23</v>
      </c>
      <c r="E286" t="s">
        <v>57</v>
      </c>
      <c r="F286" s="1">
        <v>44902</v>
      </c>
      <c r="G286" t="s">
        <v>924</v>
      </c>
      <c r="H286" t="s">
        <v>925</v>
      </c>
      <c r="I286" t="s">
        <v>51</v>
      </c>
      <c r="J286">
        <v>11469.39</v>
      </c>
      <c r="K286">
        <v>391</v>
      </c>
      <c r="L286" t="s">
        <v>60</v>
      </c>
      <c r="M286" s="1">
        <v>44924</v>
      </c>
      <c r="N286" t="s">
        <v>29</v>
      </c>
      <c r="O286" t="s">
        <v>61</v>
      </c>
      <c r="P286">
        <v>22</v>
      </c>
      <c r="Q286" t="s">
        <v>31</v>
      </c>
      <c r="R286" t="s">
        <v>32</v>
      </c>
      <c r="S286">
        <v>12</v>
      </c>
      <c r="T286">
        <v>2022</v>
      </c>
      <c r="U286" t="s">
        <v>74</v>
      </c>
    </row>
    <row r="287" spans="1:21" x14ac:dyDescent="0.3">
      <c r="A287" t="s">
        <v>926</v>
      </c>
      <c r="B287">
        <v>84</v>
      </c>
      <c r="C287" t="s">
        <v>22</v>
      </c>
      <c r="D287" t="s">
        <v>76</v>
      </c>
      <c r="E287" t="s">
        <v>24</v>
      </c>
      <c r="F287" s="1">
        <v>45289</v>
      </c>
      <c r="G287" t="s">
        <v>927</v>
      </c>
      <c r="H287" t="s">
        <v>928</v>
      </c>
      <c r="I287" t="s">
        <v>51</v>
      </c>
      <c r="J287">
        <v>35435.17</v>
      </c>
      <c r="K287">
        <v>458</v>
      </c>
      <c r="L287" t="s">
        <v>60</v>
      </c>
      <c r="M287" s="1">
        <v>45307</v>
      </c>
      <c r="N287" t="s">
        <v>41</v>
      </c>
      <c r="O287" t="s">
        <v>61</v>
      </c>
      <c r="P287">
        <v>18</v>
      </c>
      <c r="Q287" t="s">
        <v>53</v>
      </c>
      <c r="R287" t="s">
        <v>44</v>
      </c>
      <c r="S287">
        <v>12</v>
      </c>
      <c r="T287">
        <v>2023</v>
      </c>
      <c r="U287" t="s">
        <v>74</v>
      </c>
    </row>
    <row r="288" spans="1:21" x14ac:dyDescent="0.3">
      <c r="A288" t="s">
        <v>929</v>
      </c>
      <c r="B288">
        <v>71</v>
      </c>
      <c r="C288" t="s">
        <v>22</v>
      </c>
      <c r="D288" t="s">
        <v>149</v>
      </c>
      <c r="E288" t="s">
        <v>24</v>
      </c>
      <c r="F288" s="1">
        <v>44973</v>
      </c>
      <c r="G288" t="s">
        <v>930</v>
      </c>
      <c r="H288" t="s">
        <v>931</v>
      </c>
      <c r="I288" t="s">
        <v>73</v>
      </c>
      <c r="J288">
        <v>26139.79</v>
      </c>
      <c r="K288">
        <v>195</v>
      </c>
      <c r="L288" t="s">
        <v>28</v>
      </c>
      <c r="M288" s="1">
        <v>44982</v>
      </c>
      <c r="N288" t="s">
        <v>29</v>
      </c>
      <c r="O288" t="s">
        <v>61</v>
      </c>
      <c r="P288">
        <v>9</v>
      </c>
      <c r="Q288" t="s">
        <v>53</v>
      </c>
      <c r="R288" t="s">
        <v>32</v>
      </c>
      <c r="S288">
        <v>2</v>
      </c>
      <c r="T288">
        <v>2023</v>
      </c>
      <c r="U288" t="s">
        <v>278</v>
      </c>
    </row>
    <row r="289" spans="1:21" x14ac:dyDescent="0.3">
      <c r="A289" t="s">
        <v>932</v>
      </c>
      <c r="B289">
        <v>79</v>
      </c>
      <c r="C289" t="s">
        <v>22</v>
      </c>
      <c r="D289" t="s">
        <v>127</v>
      </c>
      <c r="E289" t="s">
        <v>24</v>
      </c>
      <c r="F289" s="1">
        <v>44693</v>
      </c>
      <c r="G289" t="s">
        <v>933</v>
      </c>
      <c r="H289" t="s">
        <v>934</v>
      </c>
      <c r="I289" t="s">
        <v>73</v>
      </c>
      <c r="J289">
        <v>21296.52</v>
      </c>
      <c r="K289">
        <v>214</v>
      </c>
      <c r="L289" t="s">
        <v>40</v>
      </c>
      <c r="M289" s="1">
        <v>44697</v>
      </c>
      <c r="N289" t="s">
        <v>29</v>
      </c>
      <c r="O289" t="s">
        <v>61</v>
      </c>
      <c r="P289">
        <v>4</v>
      </c>
      <c r="Q289" t="s">
        <v>53</v>
      </c>
      <c r="R289" t="s">
        <v>32</v>
      </c>
      <c r="S289">
        <v>5</v>
      </c>
      <c r="T289">
        <v>2022</v>
      </c>
      <c r="U289" t="s">
        <v>90</v>
      </c>
    </row>
    <row r="290" spans="1:21" x14ac:dyDescent="0.3">
      <c r="A290" t="s">
        <v>935</v>
      </c>
      <c r="B290">
        <v>56</v>
      </c>
      <c r="C290" t="s">
        <v>22</v>
      </c>
      <c r="D290" t="s">
        <v>56</v>
      </c>
      <c r="E290" t="s">
        <v>115</v>
      </c>
      <c r="F290" s="1">
        <v>45189</v>
      </c>
      <c r="G290" t="s">
        <v>216</v>
      </c>
      <c r="H290" t="s">
        <v>936</v>
      </c>
      <c r="I290" t="s">
        <v>73</v>
      </c>
      <c r="J290">
        <v>8421.92</v>
      </c>
      <c r="K290">
        <v>409</v>
      </c>
      <c r="L290" t="s">
        <v>40</v>
      </c>
      <c r="M290" s="1">
        <v>45194</v>
      </c>
      <c r="N290" t="s">
        <v>29</v>
      </c>
      <c r="O290" t="s">
        <v>42</v>
      </c>
      <c r="P290">
        <v>5</v>
      </c>
      <c r="Q290" t="s">
        <v>43</v>
      </c>
      <c r="R290" t="s">
        <v>100</v>
      </c>
      <c r="S290">
        <v>9</v>
      </c>
      <c r="T290">
        <v>2023</v>
      </c>
      <c r="U290" t="s">
        <v>54</v>
      </c>
    </row>
    <row r="291" spans="1:21" x14ac:dyDescent="0.3">
      <c r="A291" t="s">
        <v>937</v>
      </c>
      <c r="B291">
        <v>36</v>
      </c>
      <c r="C291" t="s">
        <v>22</v>
      </c>
      <c r="D291" t="s">
        <v>149</v>
      </c>
      <c r="E291" t="s">
        <v>36</v>
      </c>
      <c r="F291" s="1">
        <v>43841</v>
      </c>
      <c r="G291" t="s">
        <v>938</v>
      </c>
      <c r="H291" t="s">
        <v>939</v>
      </c>
      <c r="I291" t="s">
        <v>82</v>
      </c>
      <c r="J291">
        <v>23892.55</v>
      </c>
      <c r="K291">
        <v>268</v>
      </c>
      <c r="L291" t="s">
        <v>40</v>
      </c>
      <c r="M291" s="1">
        <v>43846</v>
      </c>
      <c r="N291" t="s">
        <v>52</v>
      </c>
      <c r="O291" t="s">
        <v>30</v>
      </c>
      <c r="P291">
        <v>5</v>
      </c>
      <c r="Q291" t="s">
        <v>68</v>
      </c>
      <c r="R291" t="s">
        <v>32</v>
      </c>
      <c r="S291">
        <v>1</v>
      </c>
      <c r="T291">
        <v>2020</v>
      </c>
      <c r="U291" t="s">
        <v>33</v>
      </c>
    </row>
    <row r="292" spans="1:21" x14ac:dyDescent="0.3">
      <c r="A292" t="s">
        <v>940</v>
      </c>
      <c r="B292">
        <v>38</v>
      </c>
      <c r="C292" t="s">
        <v>22</v>
      </c>
      <c r="D292" t="s">
        <v>149</v>
      </c>
      <c r="E292" t="s">
        <v>36</v>
      </c>
      <c r="F292" s="1">
        <v>44650</v>
      </c>
      <c r="G292" t="s">
        <v>941</v>
      </c>
      <c r="H292" t="s">
        <v>942</v>
      </c>
      <c r="I292" t="s">
        <v>27</v>
      </c>
      <c r="J292">
        <v>8171.46</v>
      </c>
      <c r="K292">
        <v>279</v>
      </c>
      <c r="L292" t="s">
        <v>60</v>
      </c>
      <c r="M292" s="1">
        <v>44677</v>
      </c>
      <c r="N292" t="s">
        <v>41</v>
      </c>
      <c r="O292" t="s">
        <v>42</v>
      </c>
      <c r="P292">
        <v>27</v>
      </c>
      <c r="Q292" t="s">
        <v>68</v>
      </c>
      <c r="R292" t="s">
        <v>100</v>
      </c>
      <c r="S292">
        <v>3</v>
      </c>
      <c r="T292">
        <v>2022</v>
      </c>
      <c r="U292" t="s">
        <v>122</v>
      </c>
    </row>
    <row r="293" spans="1:21" x14ac:dyDescent="0.3">
      <c r="A293" t="s">
        <v>943</v>
      </c>
      <c r="B293">
        <v>21</v>
      </c>
      <c r="C293" t="s">
        <v>22</v>
      </c>
      <c r="D293" t="s">
        <v>64</v>
      </c>
      <c r="E293" t="s">
        <v>115</v>
      </c>
      <c r="F293" s="1">
        <v>43962</v>
      </c>
      <c r="G293" t="s">
        <v>944</v>
      </c>
      <c r="H293" t="s">
        <v>945</v>
      </c>
      <c r="I293" t="s">
        <v>73</v>
      </c>
      <c r="J293">
        <v>23457.31</v>
      </c>
      <c r="K293">
        <v>322</v>
      </c>
      <c r="L293" t="s">
        <v>60</v>
      </c>
      <c r="M293" s="1">
        <v>43971</v>
      </c>
      <c r="N293" t="s">
        <v>99</v>
      </c>
      <c r="O293" t="s">
        <v>30</v>
      </c>
      <c r="P293">
        <v>9</v>
      </c>
      <c r="Q293" t="s">
        <v>31</v>
      </c>
      <c r="R293" t="s">
        <v>32</v>
      </c>
      <c r="S293">
        <v>5</v>
      </c>
      <c r="T293">
        <v>2020</v>
      </c>
      <c r="U293" t="s">
        <v>90</v>
      </c>
    </row>
    <row r="294" spans="1:21" x14ac:dyDescent="0.3">
      <c r="A294" t="s">
        <v>946</v>
      </c>
      <c r="B294">
        <v>55</v>
      </c>
      <c r="C294" t="s">
        <v>47</v>
      </c>
      <c r="D294" t="s">
        <v>56</v>
      </c>
      <c r="E294" t="s">
        <v>24</v>
      </c>
      <c r="F294" s="1">
        <v>44581</v>
      </c>
      <c r="G294" t="s">
        <v>947</v>
      </c>
      <c r="H294" t="s">
        <v>948</v>
      </c>
      <c r="I294" t="s">
        <v>82</v>
      </c>
      <c r="J294">
        <v>25787.439999999999</v>
      </c>
      <c r="K294">
        <v>205</v>
      </c>
      <c r="L294" t="s">
        <v>40</v>
      </c>
      <c r="M294" s="1">
        <v>44608</v>
      </c>
      <c r="N294" t="s">
        <v>29</v>
      </c>
      <c r="O294" t="s">
        <v>30</v>
      </c>
      <c r="P294">
        <v>27</v>
      </c>
      <c r="Q294" t="s">
        <v>68</v>
      </c>
      <c r="R294" t="s">
        <v>32</v>
      </c>
      <c r="S294">
        <v>1</v>
      </c>
      <c r="T294">
        <v>2022</v>
      </c>
      <c r="U294" t="s">
        <v>33</v>
      </c>
    </row>
    <row r="295" spans="1:21" x14ac:dyDescent="0.3">
      <c r="A295" t="s">
        <v>949</v>
      </c>
      <c r="B295">
        <v>79</v>
      </c>
      <c r="C295" t="s">
        <v>47</v>
      </c>
      <c r="D295" t="s">
        <v>48</v>
      </c>
      <c r="E295" t="s">
        <v>96</v>
      </c>
      <c r="F295" s="1">
        <v>43782</v>
      </c>
      <c r="G295" t="s">
        <v>950</v>
      </c>
      <c r="H295" t="s">
        <v>951</v>
      </c>
      <c r="I295" t="s">
        <v>27</v>
      </c>
      <c r="J295">
        <v>28525.52</v>
      </c>
      <c r="K295">
        <v>243</v>
      </c>
      <c r="L295" t="s">
        <v>28</v>
      </c>
      <c r="M295" s="1">
        <v>43793</v>
      </c>
      <c r="N295" t="s">
        <v>52</v>
      </c>
      <c r="O295" t="s">
        <v>61</v>
      </c>
      <c r="P295">
        <v>11</v>
      </c>
      <c r="Q295" t="s">
        <v>53</v>
      </c>
      <c r="R295" t="s">
        <v>32</v>
      </c>
      <c r="S295">
        <v>11</v>
      </c>
      <c r="T295">
        <v>2019</v>
      </c>
      <c r="U295" t="s">
        <v>62</v>
      </c>
    </row>
    <row r="296" spans="1:21" x14ac:dyDescent="0.3">
      <c r="A296" t="s">
        <v>952</v>
      </c>
      <c r="B296">
        <v>55</v>
      </c>
      <c r="C296" t="s">
        <v>22</v>
      </c>
      <c r="D296" t="s">
        <v>76</v>
      </c>
      <c r="E296" t="s">
        <v>115</v>
      </c>
      <c r="F296" s="1">
        <v>44230</v>
      </c>
      <c r="G296" t="s">
        <v>953</v>
      </c>
      <c r="H296" t="s">
        <v>954</v>
      </c>
      <c r="I296" t="s">
        <v>73</v>
      </c>
      <c r="J296">
        <v>17182.87</v>
      </c>
      <c r="K296">
        <v>408</v>
      </c>
      <c r="L296" t="s">
        <v>40</v>
      </c>
      <c r="M296" s="1">
        <v>44247</v>
      </c>
      <c r="N296" t="s">
        <v>99</v>
      </c>
      <c r="O296" t="s">
        <v>61</v>
      </c>
      <c r="P296">
        <v>17</v>
      </c>
      <c r="Q296" t="s">
        <v>68</v>
      </c>
      <c r="R296" t="s">
        <v>32</v>
      </c>
      <c r="S296">
        <v>2</v>
      </c>
      <c r="T296">
        <v>2021</v>
      </c>
      <c r="U296" t="s">
        <v>278</v>
      </c>
    </row>
    <row r="297" spans="1:21" x14ac:dyDescent="0.3">
      <c r="A297" t="s">
        <v>955</v>
      </c>
      <c r="B297">
        <v>24</v>
      </c>
      <c r="C297" t="s">
        <v>22</v>
      </c>
      <c r="D297" t="s">
        <v>64</v>
      </c>
      <c r="E297" t="s">
        <v>70</v>
      </c>
      <c r="F297" s="1">
        <v>44128</v>
      </c>
      <c r="G297" t="s">
        <v>956</v>
      </c>
      <c r="H297" t="s">
        <v>957</v>
      </c>
      <c r="I297" t="s">
        <v>82</v>
      </c>
      <c r="J297">
        <v>20980.3</v>
      </c>
      <c r="K297">
        <v>106</v>
      </c>
      <c r="L297" t="s">
        <v>60</v>
      </c>
      <c r="M297" s="1">
        <v>44150</v>
      </c>
      <c r="N297" t="s">
        <v>52</v>
      </c>
      <c r="O297" t="s">
        <v>42</v>
      </c>
      <c r="P297">
        <v>22</v>
      </c>
      <c r="Q297" t="s">
        <v>31</v>
      </c>
      <c r="R297" t="s">
        <v>32</v>
      </c>
      <c r="S297">
        <v>10</v>
      </c>
      <c r="T297">
        <v>2020</v>
      </c>
      <c r="U297" t="s">
        <v>110</v>
      </c>
    </row>
    <row r="298" spans="1:21" x14ac:dyDescent="0.3">
      <c r="A298" t="s">
        <v>958</v>
      </c>
      <c r="B298">
        <v>39</v>
      </c>
      <c r="C298" t="s">
        <v>47</v>
      </c>
      <c r="D298" t="s">
        <v>56</v>
      </c>
      <c r="E298" t="s">
        <v>96</v>
      </c>
      <c r="F298" s="1">
        <v>44837</v>
      </c>
      <c r="G298" t="s">
        <v>959</v>
      </c>
      <c r="H298" t="s">
        <v>960</v>
      </c>
      <c r="I298" t="s">
        <v>39</v>
      </c>
      <c r="J298">
        <v>4243.2</v>
      </c>
      <c r="K298">
        <v>138</v>
      </c>
      <c r="L298" t="s">
        <v>28</v>
      </c>
      <c r="M298" s="1">
        <v>44840</v>
      </c>
      <c r="N298" t="s">
        <v>41</v>
      </c>
      <c r="O298" t="s">
        <v>61</v>
      </c>
      <c r="P298">
        <v>3</v>
      </c>
      <c r="Q298" t="s">
        <v>68</v>
      </c>
      <c r="R298" t="s">
        <v>100</v>
      </c>
      <c r="S298">
        <v>10</v>
      </c>
      <c r="T298">
        <v>2022</v>
      </c>
      <c r="U298" t="s">
        <v>110</v>
      </c>
    </row>
    <row r="299" spans="1:21" x14ac:dyDescent="0.3">
      <c r="A299" t="s">
        <v>961</v>
      </c>
      <c r="B299">
        <v>63</v>
      </c>
      <c r="C299" t="s">
        <v>47</v>
      </c>
      <c r="D299" t="s">
        <v>127</v>
      </c>
      <c r="E299" t="s">
        <v>24</v>
      </c>
      <c r="F299" s="1">
        <v>45284</v>
      </c>
      <c r="G299" t="s">
        <v>962</v>
      </c>
      <c r="H299" t="s">
        <v>963</v>
      </c>
      <c r="I299" t="s">
        <v>82</v>
      </c>
      <c r="J299">
        <v>40137.79</v>
      </c>
      <c r="K299">
        <v>467</v>
      </c>
      <c r="L299" t="s">
        <v>60</v>
      </c>
      <c r="M299" s="1">
        <v>45293</v>
      </c>
      <c r="N299" t="s">
        <v>41</v>
      </c>
      <c r="O299" t="s">
        <v>30</v>
      </c>
      <c r="P299">
        <v>9</v>
      </c>
      <c r="Q299" t="s">
        <v>43</v>
      </c>
      <c r="R299" t="s">
        <v>44</v>
      </c>
      <c r="S299">
        <v>12</v>
      </c>
      <c r="T299">
        <v>2023</v>
      </c>
      <c r="U299" t="s">
        <v>74</v>
      </c>
    </row>
    <row r="300" spans="1:21" x14ac:dyDescent="0.3">
      <c r="A300" t="s">
        <v>964</v>
      </c>
      <c r="B300">
        <v>26</v>
      </c>
      <c r="C300" t="s">
        <v>22</v>
      </c>
      <c r="D300" t="s">
        <v>76</v>
      </c>
      <c r="E300" t="s">
        <v>70</v>
      </c>
      <c r="F300" s="1">
        <v>45248</v>
      </c>
      <c r="G300" t="s">
        <v>965</v>
      </c>
      <c r="H300" t="s">
        <v>966</v>
      </c>
      <c r="I300" t="s">
        <v>39</v>
      </c>
      <c r="J300">
        <v>30676.44</v>
      </c>
      <c r="K300">
        <v>290</v>
      </c>
      <c r="L300" t="s">
        <v>60</v>
      </c>
      <c r="M300" s="1">
        <v>45256</v>
      </c>
      <c r="N300" t="s">
        <v>41</v>
      </c>
      <c r="O300" t="s">
        <v>30</v>
      </c>
      <c r="P300">
        <v>8</v>
      </c>
      <c r="Q300" t="s">
        <v>31</v>
      </c>
      <c r="R300" t="s">
        <v>44</v>
      </c>
      <c r="S300">
        <v>11</v>
      </c>
      <c r="T300">
        <v>2023</v>
      </c>
      <c r="U300" t="s">
        <v>62</v>
      </c>
    </row>
    <row r="301" spans="1:21" x14ac:dyDescent="0.3">
      <c r="A301" t="s">
        <v>967</v>
      </c>
      <c r="B301">
        <v>76</v>
      </c>
      <c r="C301" t="s">
        <v>47</v>
      </c>
      <c r="D301" t="s">
        <v>64</v>
      </c>
      <c r="E301" t="s">
        <v>96</v>
      </c>
      <c r="F301" s="1">
        <v>45363</v>
      </c>
      <c r="G301" t="s">
        <v>968</v>
      </c>
      <c r="H301" t="s">
        <v>969</v>
      </c>
      <c r="I301" t="s">
        <v>51</v>
      </c>
      <c r="J301">
        <v>45594.89</v>
      </c>
      <c r="K301">
        <v>192</v>
      </c>
      <c r="L301" t="s">
        <v>28</v>
      </c>
      <c r="M301" s="1">
        <v>45391</v>
      </c>
      <c r="N301" t="s">
        <v>29</v>
      </c>
      <c r="O301" t="s">
        <v>61</v>
      </c>
      <c r="P301">
        <v>28</v>
      </c>
      <c r="Q301" t="s">
        <v>53</v>
      </c>
      <c r="R301" t="s">
        <v>44</v>
      </c>
      <c r="S301">
        <v>3</v>
      </c>
      <c r="T301">
        <v>2024</v>
      </c>
      <c r="U301" t="s">
        <v>122</v>
      </c>
    </row>
    <row r="302" spans="1:21" x14ac:dyDescent="0.3">
      <c r="A302" t="s">
        <v>970</v>
      </c>
      <c r="B302">
        <v>69</v>
      </c>
      <c r="C302" t="s">
        <v>22</v>
      </c>
      <c r="D302" t="s">
        <v>35</v>
      </c>
      <c r="E302" t="s">
        <v>24</v>
      </c>
      <c r="F302" s="1">
        <v>45028</v>
      </c>
      <c r="G302" t="s">
        <v>971</v>
      </c>
      <c r="H302" t="s">
        <v>972</v>
      </c>
      <c r="I302" t="s">
        <v>39</v>
      </c>
      <c r="J302">
        <v>29076.63</v>
      </c>
      <c r="K302">
        <v>135</v>
      </c>
      <c r="L302" t="s">
        <v>28</v>
      </c>
      <c r="M302" s="1">
        <v>45053</v>
      </c>
      <c r="N302" t="s">
        <v>41</v>
      </c>
      <c r="O302" t="s">
        <v>61</v>
      </c>
      <c r="P302">
        <v>25</v>
      </c>
      <c r="Q302" t="s">
        <v>43</v>
      </c>
      <c r="R302" t="s">
        <v>32</v>
      </c>
      <c r="S302">
        <v>4</v>
      </c>
      <c r="T302">
        <v>2023</v>
      </c>
      <c r="U302" t="s">
        <v>94</v>
      </c>
    </row>
    <row r="303" spans="1:21" x14ac:dyDescent="0.3">
      <c r="A303" t="s">
        <v>973</v>
      </c>
      <c r="B303">
        <v>38</v>
      </c>
      <c r="C303" t="s">
        <v>47</v>
      </c>
      <c r="D303" t="s">
        <v>56</v>
      </c>
      <c r="E303" t="s">
        <v>36</v>
      </c>
      <c r="F303" s="1">
        <v>44363</v>
      </c>
      <c r="G303" t="s">
        <v>974</v>
      </c>
      <c r="H303" t="s">
        <v>975</v>
      </c>
      <c r="I303" t="s">
        <v>82</v>
      </c>
      <c r="J303">
        <v>5223.5</v>
      </c>
      <c r="K303">
        <v>255</v>
      </c>
      <c r="L303" t="s">
        <v>40</v>
      </c>
      <c r="M303" s="1">
        <v>44388</v>
      </c>
      <c r="N303" t="s">
        <v>29</v>
      </c>
      <c r="O303" t="s">
        <v>61</v>
      </c>
      <c r="P303">
        <v>25</v>
      </c>
      <c r="Q303" t="s">
        <v>68</v>
      </c>
      <c r="R303" t="s">
        <v>100</v>
      </c>
      <c r="S303">
        <v>6</v>
      </c>
      <c r="T303">
        <v>2021</v>
      </c>
      <c r="U303" t="s">
        <v>118</v>
      </c>
    </row>
    <row r="304" spans="1:21" x14ac:dyDescent="0.3">
      <c r="A304" t="s">
        <v>976</v>
      </c>
      <c r="B304">
        <v>19</v>
      </c>
      <c r="C304" t="s">
        <v>22</v>
      </c>
      <c r="D304" t="s">
        <v>76</v>
      </c>
      <c r="E304" t="s">
        <v>96</v>
      </c>
      <c r="F304" s="1">
        <v>44524</v>
      </c>
      <c r="G304" t="s">
        <v>977</v>
      </c>
      <c r="H304" t="s">
        <v>978</v>
      </c>
      <c r="I304" t="s">
        <v>27</v>
      </c>
      <c r="J304">
        <v>41840.660000000003</v>
      </c>
      <c r="K304">
        <v>176</v>
      </c>
      <c r="L304" t="s">
        <v>60</v>
      </c>
      <c r="M304" s="1">
        <v>44543</v>
      </c>
      <c r="N304" t="s">
        <v>67</v>
      </c>
      <c r="O304" t="s">
        <v>61</v>
      </c>
      <c r="P304">
        <v>19</v>
      </c>
      <c r="Q304" t="s">
        <v>31</v>
      </c>
      <c r="R304" t="s">
        <v>44</v>
      </c>
      <c r="S304">
        <v>11</v>
      </c>
      <c r="T304">
        <v>2021</v>
      </c>
      <c r="U304" t="s">
        <v>62</v>
      </c>
    </row>
    <row r="305" spans="1:21" x14ac:dyDescent="0.3">
      <c r="A305" t="s">
        <v>979</v>
      </c>
      <c r="B305">
        <v>61</v>
      </c>
      <c r="C305" t="s">
        <v>22</v>
      </c>
      <c r="D305" t="s">
        <v>23</v>
      </c>
      <c r="E305" t="s">
        <v>36</v>
      </c>
      <c r="F305" s="1">
        <v>44018</v>
      </c>
      <c r="G305" t="s">
        <v>980</v>
      </c>
      <c r="H305" t="s">
        <v>981</v>
      </c>
      <c r="I305" t="s">
        <v>27</v>
      </c>
      <c r="J305">
        <v>26504.87</v>
      </c>
      <c r="K305">
        <v>287</v>
      </c>
      <c r="L305" t="s">
        <v>40</v>
      </c>
      <c r="M305" s="1">
        <v>44034</v>
      </c>
      <c r="N305" t="s">
        <v>52</v>
      </c>
      <c r="O305" t="s">
        <v>30</v>
      </c>
      <c r="P305">
        <v>16</v>
      </c>
      <c r="Q305" t="s">
        <v>43</v>
      </c>
      <c r="R305" t="s">
        <v>32</v>
      </c>
      <c r="S305">
        <v>7</v>
      </c>
      <c r="T305">
        <v>2020</v>
      </c>
      <c r="U305" t="s">
        <v>86</v>
      </c>
    </row>
    <row r="306" spans="1:21" x14ac:dyDescent="0.3">
      <c r="A306" t="s">
        <v>982</v>
      </c>
      <c r="B306">
        <v>42</v>
      </c>
      <c r="C306" t="s">
        <v>47</v>
      </c>
      <c r="D306" t="s">
        <v>76</v>
      </c>
      <c r="E306" t="s">
        <v>115</v>
      </c>
      <c r="F306" s="1">
        <v>44738</v>
      </c>
      <c r="G306" t="s">
        <v>983</v>
      </c>
      <c r="H306" t="s">
        <v>984</v>
      </c>
      <c r="I306" t="s">
        <v>82</v>
      </c>
      <c r="J306">
        <v>7946.13</v>
      </c>
      <c r="K306">
        <v>111</v>
      </c>
      <c r="L306" t="s">
        <v>60</v>
      </c>
      <c r="M306" s="1">
        <v>44743</v>
      </c>
      <c r="N306" t="s">
        <v>41</v>
      </c>
      <c r="O306" t="s">
        <v>42</v>
      </c>
      <c r="P306">
        <v>5</v>
      </c>
      <c r="Q306" t="s">
        <v>68</v>
      </c>
      <c r="R306" t="s">
        <v>100</v>
      </c>
      <c r="S306">
        <v>6</v>
      </c>
      <c r="T306">
        <v>2022</v>
      </c>
      <c r="U306" t="s">
        <v>118</v>
      </c>
    </row>
    <row r="307" spans="1:21" x14ac:dyDescent="0.3">
      <c r="A307" t="s">
        <v>985</v>
      </c>
      <c r="B307">
        <v>57</v>
      </c>
      <c r="C307" t="s">
        <v>22</v>
      </c>
      <c r="D307" t="s">
        <v>76</v>
      </c>
      <c r="E307" t="s">
        <v>57</v>
      </c>
      <c r="F307" s="1">
        <v>44033</v>
      </c>
      <c r="G307" t="s">
        <v>986</v>
      </c>
      <c r="H307" t="s">
        <v>987</v>
      </c>
      <c r="I307" t="s">
        <v>82</v>
      </c>
      <c r="J307">
        <v>18689.14</v>
      </c>
      <c r="K307">
        <v>133</v>
      </c>
      <c r="L307" t="s">
        <v>28</v>
      </c>
      <c r="M307" s="1">
        <v>44043</v>
      </c>
      <c r="N307" t="s">
        <v>99</v>
      </c>
      <c r="O307" t="s">
        <v>30</v>
      </c>
      <c r="P307">
        <v>10</v>
      </c>
      <c r="Q307" t="s">
        <v>43</v>
      </c>
      <c r="R307" t="s">
        <v>32</v>
      </c>
      <c r="S307">
        <v>7</v>
      </c>
      <c r="T307">
        <v>2020</v>
      </c>
      <c r="U307" t="s">
        <v>86</v>
      </c>
    </row>
    <row r="308" spans="1:21" x14ac:dyDescent="0.3">
      <c r="A308" t="s">
        <v>988</v>
      </c>
      <c r="B308">
        <v>36</v>
      </c>
      <c r="C308" t="s">
        <v>47</v>
      </c>
      <c r="D308" t="s">
        <v>48</v>
      </c>
      <c r="E308" t="s">
        <v>115</v>
      </c>
      <c r="F308" s="1">
        <v>43773</v>
      </c>
      <c r="G308" t="s">
        <v>989</v>
      </c>
      <c r="H308" t="s">
        <v>990</v>
      </c>
      <c r="I308" t="s">
        <v>27</v>
      </c>
      <c r="J308">
        <v>30051.98</v>
      </c>
      <c r="K308">
        <v>482</v>
      </c>
      <c r="L308" t="s">
        <v>28</v>
      </c>
      <c r="M308" s="1">
        <v>43802</v>
      </c>
      <c r="N308" t="s">
        <v>41</v>
      </c>
      <c r="O308" t="s">
        <v>61</v>
      </c>
      <c r="P308">
        <v>29</v>
      </c>
      <c r="Q308" t="s">
        <v>68</v>
      </c>
      <c r="R308" t="s">
        <v>44</v>
      </c>
      <c r="S308">
        <v>11</v>
      </c>
      <c r="T308">
        <v>2019</v>
      </c>
      <c r="U308" t="s">
        <v>62</v>
      </c>
    </row>
    <row r="309" spans="1:21" x14ac:dyDescent="0.3">
      <c r="A309" t="s">
        <v>991</v>
      </c>
      <c r="B309">
        <v>68</v>
      </c>
      <c r="C309" t="s">
        <v>47</v>
      </c>
      <c r="D309" t="s">
        <v>64</v>
      </c>
      <c r="E309" t="s">
        <v>96</v>
      </c>
      <c r="F309" s="1">
        <v>44501</v>
      </c>
      <c r="G309" t="s">
        <v>992</v>
      </c>
      <c r="H309" t="s">
        <v>993</v>
      </c>
      <c r="I309" t="s">
        <v>39</v>
      </c>
      <c r="J309">
        <v>22913.55</v>
      </c>
      <c r="K309">
        <v>124</v>
      </c>
      <c r="L309" t="s">
        <v>28</v>
      </c>
      <c r="M309" s="1">
        <v>44503</v>
      </c>
      <c r="N309" t="s">
        <v>29</v>
      </c>
      <c r="O309" t="s">
        <v>30</v>
      </c>
      <c r="P309">
        <v>2</v>
      </c>
      <c r="Q309" t="s">
        <v>43</v>
      </c>
      <c r="R309" t="s">
        <v>32</v>
      </c>
      <c r="S309">
        <v>11</v>
      </c>
      <c r="T309">
        <v>2021</v>
      </c>
      <c r="U309" t="s">
        <v>62</v>
      </c>
    </row>
    <row r="310" spans="1:21" x14ac:dyDescent="0.3">
      <c r="A310" t="s">
        <v>994</v>
      </c>
      <c r="B310">
        <v>25</v>
      </c>
      <c r="C310" t="s">
        <v>47</v>
      </c>
      <c r="D310" t="s">
        <v>127</v>
      </c>
      <c r="E310" t="s">
        <v>36</v>
      </c>
      <c r="F310" s="1">
        <v>43786</v>
      </c>
      <c r="G310" t="s">
        <v>995</v>
      </c>
      <c r="H310" t="s">
        <v>996</v>
      </c>
      <c r="I310" t="s">
        <v>73</v>
      </c>
      <c r="J310">
        <v>36238.58</v>
      </c>
      <c r="K310">
        <v>131</v>
      </c>
      <c r="L310" t="s">
        <v>60</v>
      </c>
      <c r="M310" s="1">
        <v>43799</v>
      </c>
      <c r="N310" t="s">
        <v>41</v>
      </c>
      <c r="O310" t="s">
        <v>42</v>
      </c>
      <c r="P310">
        <v>13</v>
      </c>
      <c r="Q310" t="s">
        <v>31</v>
      </c>
      <c r="R310" t="s">
        <v>44</v>
      </c>
      <c r="S310">
        <v>11</v>
      </c>
      <c r="T310">
        <v>2019</v>
      </c>
      <c r="U310" t="s">
        <v>62</v>
      </c>
    </row>
    <row r="311" spans="1:21" x14ac:dyDescent="0.3">
      <c r="A311" t="s">
        <v>997</v>
      </c>
      <c r="B311">
        <v>37</v>
      </c>
      <c r="C311" t="s">
        <v>47</v>
      </c>
      <c r="D311" t="s">
        <v>127</v>
      </c>
      <c r="E311" t="s">
        <v>36</v>
      </c>
      <c r="F311" s="1">
        <v>44914</v>
      </c>
      <c r="G311" t="s">
        <v>998</v>
      </c>
      <c r="H311" t="s">
        <v>999</v>
      </c>
      <c r="I311" t="s">
        <v>39</v>
      </c>
      <c r="J311">
        <v>25217.46</v>
      </c>
      <c r="K311">
        <v>352</v>
      </c>
      <c r="L311" t="s">
        <v>28</v>
      </c>
      <c r="M311" s="1">
        <v>44932</v>
      </c>
      <c r="N311" t="s">
        <v>52</v>
      </c>
      <c r="O311" t="s">
        <v>30</v>
      </c>
      <c r="P311">
        <v>18</v>
      </c>
      <c r="Q311" t="s">
        <v>68</v>
      </c>
      <c r="R311" t="s">
        <v>32</v>
      </c>
      <c r="S311">
        <v>12</v>
      </c>
      <c r="T311">
        <v>2022</v>
      </c>
      <c r="U311" t="s">
        <v>74</v>
      </c>
    </row>
    <row r="312" spans="1:21" x14ac:dyDescent="0.3">
      <c r="A312" t="s">
        <v>1000</v>
      </c>
      <c r="B312">
        <v>68</v>
      </c>
      <c r="C312" t="s">
        <v>22</v>
      </c>
      <c r="D312" t="s">
        <v>35</v>
      </c>
      <c r="E312" t="s">
        <v>70</v>
      </c>
      <c r="F312" s="1">
        <v>44110</v>
      </c>
      <c r="G312" t="s">
        <v>1001</v>
      </c>
      <c r="H312" t="s">
        <v>1002</v>
      </c>
      <c r="I312" t="s">
        <v>51</v>
      </c>
      <c r="J312">
        <v>41548.410000000003</v>
      </c>
      <c r="K312">
        <v>124</v>
      </c>
      <c r="L312" t="s">
        <v>28</v>
      </c>
      <c r="M312" s="1">
        <v>44124</v>
      </c>
      <c r="N312" t="s">
        <v>52</v>
      </c>
      <c r="O312" t="s">
        <v>30</v>
      </c>
      <c r="P312">
        <v>14</v>
      </c>
      <c r="Q312" t="s">
        <v>43</v>
      </c>
      <c r="R312" t="s">
        <v>44</v>
      </c>
      <c r="S312">
        <v>10</v>
      </c>
      <c r="T312">
        <v>2020</v>
      </c>
      <c r="U312" t="s">
        <v>110</v>
      </c>
    </row>
    <row r="313" spans="1:21" x14ac:dyDescent="0.3">
      <c r="A313" t="s">
        <v>1003</v>
      </c>
      <c r="B313">
        <v>81</v>
      </c>
      <c r="C313" t="s">
        <v>47</v>
      </c>
      <c r="D313" t="s">
        <v>76</v>
      </c>
      <c r="E313" t="s">
        <v>115</v>
      </c>
      <c r="F313" s="1">
        <v>44577</v>
      </c>
      <c r="G313" t="s">
        <v>1004</v>
      </c>
      <c r="H313" t="s">
        <v>1005</v>
      </c>
      <c r="I313" t="s">
        <v>51</v>
      </c>
      <c r="J313">
        <v>7562.39</v>
      </c>
      <c r="K313">
        <v>471</v>
      </c>
      <c r="L313" t="s">
        <v>60</v>
      </c>
      <c r="M313" s="1">
        <v>44583</v>
      </c>
      <c r="N313" t="s">
        <v>41</v>
      </c>
      <c r="O313" t="s">
        <v>61</v>
      </c>
      <c r="P313">
        <v>6</v>
      </c>
      <c r="Q313" t="s">
        <v>53</v>
      </c>
      <c r="R313" t="s">
        <v>100</v>
      </c>
      <c r="S313">
        <v>1</v>
      </c>
      <c r="T313">
        <v>2022</v>
      </c>
      <c r="U313" t="s">
        <v>33</v>
      </c>
    </row>
    <row r="314" spans="1:21" x14ac:dyDescent="0.3">
      <c r="A314" t="s">
        <v>1006</v>
      </c>
      <c r="B314">
        <v>74</v>
      </c>
      <c r="C314" t="s">
        <v>47</v>
      </c>
      <c r="D314" t="s">
        <v>35</v>
      </c>
      <c r="E314" t="s">
        <v>70</v>
      </c>
      <c r="F314" s="1">
        <v>45113</v>
      </c>
      <c r="G314" t="s">
        <v>1007</v>
      </c>
      <c r="H314" t="s">
        <v>1008</v>
      </c>
      <c r="I314" t="s">
        <v>73</v>
      </c>
      <c r="J314">
        <v>386.05</v>
      </c>
      <c r="K314">
        <v>165</v>
      </c>
      <c r="L314" t="s">
        <v>60</v>
      </c>
      <c r="M314" s="1">
        <v>45141</v>
      </c>
      <c r="N314" t="s">
        <v>52</v>
      </c>
      <c r="O314" t="s">
        <v>30</v>
      </c>
      <c r="P314">
        <v>28</v>
      </c>
      <c r="Q314" t="s">
        <v>53</v>
      </c>
      <c r="R314" t="s">
        <v>100</v>
      </c>
      <c r="S314">
        <v>7</v>
      </c>
      <c r="T314">
        <v>2023</v>
      </c>
      <c r="U314" t="s">
        <v>86</v>
      </c>
    </row>
    <row r="315" spans="1:21" x14ac:dyDescent="0.3">
      <c r="A315" t="s">
        <v>1009</v>
      </c>
      <c r="B315">
        <v>75</v>
      </c>
      <c r="C315" t="s">
        <v>22</v>
      </c>
      <c r="D315" t="s">
        <v>56</v>
      </c>
      <c r="E315" t="s">
        <v>115</v>
      </c>
      <c r="F315" s="1">
        <v>44359</v>
      </c>
      <c r="G315" t="s">
        <v>1010</v>
      </c>
      <c r="H315" t="s">
        <v>1011</v>
      </c>
      <c r="I315" t="s">
        <v>82</v>
      </c>
      <c r="J315">
        <v>31491.61</v>
      </c>
      <c r="K315">
        <v>347</v>
      </c>
      <c r="L315" t="s">
        <v>28</v>
      </c>
      <c r="M315" s="1">
        <v>44362</v>
      </c>
      <c r="N315" t="s">
        <v>41</v>
      </c>
      <c r="O315" t="s">
        <v>61</v>
      </c>
      <c r="P315">
        <v>3</v>
      </c>
      <c r="Q315" t="s">
        <v>53</v>
      </c>
      <c r="R315" t="s">
        <v>44</v>
      </c>
      <c r="S315">
        <v>6</v>
      </c>
      <c r="T315">
        <v>2021</v>
      </c>
      <c r="U315" t="s">
        <v>118</v>
      </c>
    </row>
    <row r="316" spans="1:21" x14ac:dyDescent="0.3">
      <c r="A316" t="s">
        <v>1012</v>
      </c>
      <c r="B316">
        <v>74</v>
      </c>
      <c r="C316" t="s">
        <v>47</v>
      </c>
      <c r="D316" t="s">
        <v>64</v>
      </c>
      <c r="E316" t="s">
        <v>24</v>
      </c>
      <c r="F316" s="1">
        <v>43704</v>
      </c>
      <c r="G316" t="s">
        <v>1013</v>
      </c>
      <c r="H316" t="s">
        <v>1014</v>
      </c>
      <c r="I316" t="s">
        <v>73</v>
      </c>
      <c r="J316">
        <v>34224.35</v>
      </c>
      <c r="K316">
        <v>228</v>
      </c>
      <c r="L316" t="s">
        <v>60</v>
      </c>
      <c r="M316" s="1">
        <v>43709</v>
      </c>
      <c r="N316" t="s">
        <v>99</v>
      </c>
      <c r="O316" t="s">
        <v>61</v>
      </c>
      <c r="P316">
        <v>5</v>
      </c>
      <c r="Q316" t="s">
        <v>53</v>
      </c>
      <c r="R316" t="s">
        <v>44</v>
      </c>
      <c r="S316">
        <v>8</v>
      </c>
      <c r="T316">
        <v>2019</v>
      </c>
      <c r="U316" t="s">
        <v>45</v>
      </c>
    </row>
    <row r="317" spans="1:21" x14ac:dyDescent="0.3">
      <c r="A317" t="s">
        <v>1015</v>
      </c>
      <c r="B317">
        <v>28</v>
      </c>
      <c r="C317" t="s">
        <v>47</v>
      </c>
      <c r="D317" t="s">
        <v>76</v>
      </c>
      <c r="E317" t="s">
        <v>57</v>
      </c>
      <c r="F317" s="1">
        <v>44698</v>
      </c>
      <c r="G317" t="s">
        <v>1016</v>
      </c>
      <c r="H317" t="s">
        <v>1017</v>
      </c>
      <c r="I317" t="s">
        <v>39</v>
      </c>
      <c r="J317">
        <v>23673.72</v>
      </c>
      <c r="K317">
        <v>354</v>
      </c>
      <c r="L317" t="s">
        <v>28</v>
      </c>
      <c r="M317" s="1">
        <v>44724</v>
      </c>
      <c r="N317" t="s">
        <v>41</v>
      </c>
      <c r="O317" t="s">
        <v>61</v>
      </c>
      <c r="P317">
        <v>26</v>
      </c>
      <c r="Q317" t="s">
        <v>31</v>
      </c>
      <c r="R317" t="s">
        <v>32</v>
      </c>
      <c r="S317">
        <v>5</v>
      </c>
      <c r="T317">
        <v>2022</v>
      </c>
      <c r="U317" t="s">
        <v>90</v>
      </c>
    </row>
    <row r="318" spans="1:21" x14ac:dyDescent="0.3">
      <c r="A318" t="s">
        <v>1018</v>
      </c>
      <c r="B318">
        <v>35</v>
      </c>
      <c r="C318" t="s">
        <v>22</v>
      </c>
      <c r="D318" t="s">
        <v>64</v>
      </c>
      <c r="E318" t="s">
        <v>96</v>
      </c>
      <c r="F318" s="1">
        <v>44106</v>
      </c>
      <c r="G318" t="s">
        <v>1019</v>
      </c>
      <c r="H318" t="s">
        <v>1020</v>
      </c>
      <c r="I318" t="s">
        <v>73</v>
      </c>
      <c r="J318">
        <v>40302</v>
      </c>
      <c r="K318">
        <v>250</v>
      </c>
      <c r="L318" t="s">
        <v>60</v>
      </c>
      <c r="M318" s="1">
        <v>44121</v>
      </c>
      <c r="N318" t="s">
        <v>41</v>
      </c>
      <c r="O318" t="s">
        <v>42</v>
      </c>
      <c r="P318">
        <v>15</v>
      </c>
      <c r="Q318" t="s">
        <v>31</v>
      </c>
      <c r="R318" t="s">
        <v>44</v>
      </c>
      <c r="S318">
        <v>10</v>
      </c>
      <c r="T318">
        <v>2020</v>
      </c>
      <c r="U318" t="s">
        <v>110</v>
      </c>
    </row>
    <row r="319" spans="1:21" x14ac:dyDescent="0.3">
      <c r="A319" t="s">
        <v>1021</v>
      </c>
      <c r="B319">
        <v>79</v>
      </c>
      <c r="C319" t="s">
        <v>47</v>
      </c>
      <c r="D319" t="s">
        <v>56</v>
      </c>
      <c r="E319" t="s">
        <v>70</v>
      </c>
      <c r="F319" s="1">
        <v>44428</v>
      </c>
      <c r="G319" t="s">
        <v>1022</v>
      </c>
      <c r="H319" t="s">
        <v>1023</v>
      </c>
      <c r="I319" t="s">
        <v>39</v>
      </c>
      <c r="J319">
        <v>37116.160000000003</v>
      </c>
      <c r="K319">
        <v>225</v>
      </c>
      <c r="L319" t="s">
        <v>60</v>
      </c>
      <c r="M319" s="1">
        <v>44455</v>
      </c>
      <c r="N319" t="s">
        <v>99</v>
      </c>
      <c r="O319" t="s">
        <v>61</v>
      </c>
      <c r="P319">
        <v>27</v>
      </c>
      <c r="Q319" t="s">
        <v>53</v>
      </c>
      <c r="R319" t="s">
        <v>44</v>
      </c>
      <c r="S319">
        <v>8</v>
      </c>
      <c r="T319">
        <v>2021</v>
      </c>
      <c r="U319" t="s">
        <v>45</v>
      </c>
    </row>
    <row r="320" spans="1:21" x14ac:dyDescent="0.3">
      <c r="A320" t="s">
        <v>1024</v>
      </c>
      <c r="B320">
        <v>59</v>
      </c>
      <c r="C320" t="s">
        <v>47</v>
      </c>
      <c r="D320" t="s">
        <v>149</v>
      </c>
      <c r="E320" t="s">
        <v>70</v>
      </c>
      <c r="F320" s="1">
        <v>43774</v>
      </c>
      <c r="G320" t="s">
        <v>1025</v>
      </c>
      <c r="H320" t="s">
        <v>1026</v>
      </c>
      <c r="I320" t="s">
        <v>51</v>
      </c>
      <c r="J320">
        <v>38606.959999999999</v>
      </c>
      <c r="K320">
        <v>357</v>
      </c>
      <c r="L320" t="s">
        <v>60</v>
      </c>
      <c r="M320" s="1">
        <v>43786</v>
      </c>
      <c r="N320" t="s">
        <v>52</v>
      </c>
      <c r="O320" t="s">
        <v>42</v>
      </c>
      <c r="P320">
        <v>12</v>
      </c>
      <c r="Q320" t="s">
        <v>43</v>
      </c>
      <c r="R320" t="s">
        <v>44</v>
      </c>
      <c r="S320">
        <v>11</v>
      </c>
      <c r="T320">
        <v>2019</v>
      </c>
      <c r="U320" t="s">
        <v>62</v>
      </c>
    </row>
    <row r="321" spans="1:21" x14ac:dyDescent="0.3">
      <c r="A321" t="s">
        <v>1027</v>
      </c>
      <c r="B321">
        <v>84</v>
      </c>
      <c r="C321" t="s">
        <v>47</v>
      </c>
      <c r="D321" t="s">
        <v>149</v>
      </c>
      <c r="E321" t="s">
        <v>115</v>
      </c>
      <c r="F321" s="1">
        <v>45328</v>
      </c>
      <c r="G321" t="s">
        <v>1028</v>
      </c>
      <c r="H321" t="s">
        <v>1029</v>
      </c>
      <c r="I321" t="s">
        <v>82</v>
      </c>
      <c r="J321">
        <v>17813.93</v>
      </c>
      <c r="K321">
        <v>140</v>
      </c>
      <c r="L321" t="s">
        <v>40</v>
      </c>
      <c r="M321" s="1">
        <v>45350</v>
      </c>
      <c r="N321" t="s">
        <v>67</v>
      </c>
      <c r="O321" t="s">
        <v>42</v>
      </c>
      <c r="P321">
        <v>22</v>
      </c>
      <c r="Q321" t="s">
        <v>53</v>
      </c>
      <c r="R321" t="s">
        <v>32</v>
      </c>
      <c r="S321">
        <v>2</v>
      </c>
      <c r="T321">
        <v>2024</v>
      </c>
      <c r="U321" t="s">
        <v>278</v>
      </c>
    </row>
    <row r="322" spans="1:21" x14ac:dyDescent="0.3">
      <c r="A322" t="s">
        <v>1030</v>
      </c>
      <c r="B322">
        <v>36</v>
      </c>
      <c r="C322" t="s">
        <v>47</v>
      </c>
      <c r="D322" t="s">
        <v>149</v>
      </c>
      <c r="E322" t="s">
        <v>70</v>
      </c>
      <c r="F322" s="1">
        <v>45329</v>
      </c>
      <c r="G322" t="s">
        <v>1031</v>
      </c>
      <c r="H322" t="s">
        <v>1032</v>
      </c>
      <c r="I322" t="s">
        <v>51</v>
      </c>
      <c r="J322">
        <v>20773.02</v>
      </c>
      <c r="K322">
        <v>352</v>
      </c>
      <c r="L322" t="s">
        <v>28</v>
      </c>
      <c r="M322" s="1">
        <v>45343</v>
      </c>
      <c r="N322" t="s">
        <v>41</v>
      </c>
      <c r="O322" t="s">
        <v>30</v>
      </c>
      <c r="P322">
        <v>14</v>
      </c>
      <c r="Q322" t="s">
        <v>68</v>
      </c>
      <c r="R322" t="s">
        <v>32</v>
      </c>
      <c r="S322">
        <v>2</v>
      </c>
      <c r="T322">
        <v>2024</v>
      </c>
      <c r="U322" t="s">
        <v>278</v>
      </c>
    </row>
    <row r="323" spans="1:21" x14ac:dyDescent="0.3">
      <c r="A323" t="s">
        <v>1033</v>
      </c>
      <c r="B323">
        <v>69</v>
      </c>
      <c r="C323" t="s">
        <v>22</v>
      </c>
      <c r="D323" t="s">
        <v>56</v>
      </c>
      <c r="E323" t="s">
        <v>115</v>
      </c>
      <c r="F323" s="1">
        <v>45099</v>
      </c>
      <c r="G323" t="s">
        <v>1034</v>
      </c>
      <c r="H323" t="s">
        <v>1035</v>
      </c>
      <c r="I323" t="s">
        <v>27</v>
      </c>
      <c r="J323">
        <v>9609.52</v>
      </c>
      <c r="K323">
        <v>404</v>
      </c>
      <c r="L323" t="s">
        <v>28</v>
      </c>
      <c r="M323" s="1">
        <v>45118</v>
      </c>
      <c r="N323" t="s">
        <v>99</v>
      </c>
      <c r="O323" t="s">
        <v>30</v>
      </c>
      <c r="P323">
        <v>19</v>
      </c>
      <c r="Q323" t="s">
        <v>43</v>
      </c>
      <c r="R323" t="s">
        <v>100</v>
      </c>
      <c r="S323">
        <v>6</v>
      </c>
      <c r="T323">
        <v>2023</v>
      </c>
      <c r="U323" t="s">
        <v>118</v>
      </c>
    </row>
    <row r="324" spans="1:21" x14ac:dyDescent="0.3">
      <c r="A324" t="s">
        <v>1036</v>
      </c>
      <c r="B324">
        <v>54</v>
      </c>
      <c r="C324" t="s">
        <v>22</v>
      </c>
      <c r="D324" t="s">
        <v>48</v>
      </c>
      <c r="E324" t="s">
        <v>24</v>
      </c>
      <c r="F324" s="1">
        <v>44154</v>
      </c>
      <c r="G324" t="s">
        <v>1037</v>
      </c>
      <c r="H324" t="s">
        <v>1038</v>
      </c>
      <c r="I324" t="s">
        <v>27</v>
      </c>
      <c r="J324">
        <v>3771.24</v>
      </c>
      <c r="K324">
        <v>426</v>
      </c>
      <c r="L324" t="s">
        <v>28</v>
      </c>
      <c r="M324" s="1">
        <v>44162</v>
      </c>
      <c r="N324" t="s">
        <v>67</v>
      </c>
      <c r="O324" t="s">
        <v>61</v>
      </c>
      <c r="P324">
        <v>8</v>
      </c>
      <c r="Q324" t="s">
        <v>68</v>
      </c>
      <c r="R324" t="s">
        <v>100</v>
      </c>
      <c r="S324">
        <v>11</v>
      </c>
      <c r="T324">
        <v>2020</v>
      </c>
      <c r="U324" t="s">
        <v>62</v>
      </c>
    </row>
    <row r="325" spans="1:21" x14ac:dyDescent="0.3">
      <c r="A325" t="s">
        <v>1039</v>
      </c>
      <c r="B325">
        <v>30</v>
      </c>
      <c r="C325" t="s">
        <v>47</v>
      </c>
      <c r="D325" t="s">
        <v>56</v>
      </c>
      <c r="E325" t="s">
        <v>70</v>
      </c>
      <c r="F325" s="1">
        <v>44524</v>
      </c>
      <c r="G325" t="s">
        <v>1040</v>
      </c>
      <c r="H325" t="s">
        <v>1041</v>
      </c>
      <c r="I325" t="s">
        <v>39</v>
      </c>
      <c r="J325">
        <v>51587.94</v>
      </c>
      <c r="K325">
        <v>236</v>
      </c>
      <c r="L325" t="s">
        <v>40</v>
      </c>
      <c r="M325" s="1">
        <v>44537</v>
      </c>
      <c r="N325" t="s">
        <v>41</v>
      </c>
      <c r="O325" t="s">
        <v>61</v>
      </c>
      <c r="P325">
        <v>13</v>
      </c>
      <c r="Q325" t="s">
        <v>31</v>
      </c>
      <c r="R325" t="s">
        <v>44</v>
      </c>
      <c r="S325">
        <v>11</v>
      </c>
      <c r="T325">
        <v>2021</v>
      </c>
      <c r="U325" t="s">
        <v>62</v>
      </c>
    </row>
    <row r="326" spans="1:21" x14ac:dyDescent="0.3">
      <c r="A326" t="s">
        <v>1042</v>
      </c>
      <c r="B326">
        <v>31</v>
      </c>
      <c r="C326" t="s">
        <v>22</v>
      </c>
      <c r="D326" t="s">
        <v>149</v>
      </c>
      <c r="E326" t="s">
        <v>24</v>
      </c>
      <c r="F326" s="1">
        <v>43672</v>
      </c>
      <c r="G326" t="s">
        <v>1043</v>
      </c>
      <c r="H326" t="s">
        <v>1044</v>
      </c>
      <c r="I326" t="s">
        <v>39</v>
      </c>
      <c r="J326">
        <v>28456.7</v>
      </c>
      <c r="K326">
        <v>395</v>
      </c>
      <c r="L326" t="s">
        <v>60</v>
      </c>
      <c r="M326" s="1">
        <v>43675</v>
      </c>
      <c r="N326" t="s">
        <v>99</v>
      </c>
      <c r="O326" t="s">
        <v>42</v>
      </c>
      <c r="P326">
        <v>3</v>
      </c>
      <c r="Q326" t="s">
        <v>31</v>
      </c>
      <c r="R326" t="s">
        <v>32</v>
      </c>
      <c r="S326">
        <v>7</v>
      </c>
      <c r="T326">
        <v>2019</v>
      </c>
      <c r="U326" t="s">
        <v>86</v>
      </c>
    </row>
    <row r="327" spans="1:21" x14ac:dyDescent="0.3">
      <c r="A327" t="s">
        <v>1045</v>
      </c>
      <c r="B327">
        <v>81</v>
      </c>
      <c r="C327" t="s">
        <v>47</v>
      </c>
      <c r="D327" t="s">
        <v>64</v>
      </c>
      <c r="E327" t="s">
        <v>24</v>
      </c>
      <c r="F327" s="1">
        <v>44747</v>
      </c>
      <c r="G327" t="s">
        <v>1046</v>
      </c>
      <c r="H327" t="s">
        <v>1047</v>
      </c>
      <c r="I327" t="s">
        <v>82</v>
      </c>
      <c r="J327">
        <v>33870.120000000003</v>
      </c>
      <c r="K327">
        <v>194</v>
      </c>
      <c r="L327" t="s">
        <v>60</v>
      </c>
      <c r="M327" s="1">
        <v>44750</v>
      </c>
      <c r="N327" t="s">
        <v>41</v>
      </c>
      <c r="O327" t="s">
        <v>61</v>
      </c>
      <c r="P327">
        <v>3</v>
      </c>
      <c r="Q327" t="s">
        <v>53</v>
      </c>
      <c r="R327" t="s">
        <v>44</v>
      </c>
      <c r="S327">
        <v>7</v>
      </c>
      <c r="T327">
        <v>2022</v>
      </c>
      <c r="U327" t="s">
        <v>86</v>
      </c>
    </row>
    <row r="328" spans="1:21" x14ac:dyDescent="0.3">
      <c r="A328" t="s">
        <v>1048</v>
      </c>
      <c r="B328">
        <v>61</v>
      </c>
      <c r="C328" t="s">
        <v>47</v>
      </c>
      <c r="D328" t="s">
        <v>56</v>
      </c>
      <c r="E328" t="s">
        <v>57</v>
      </c>
      <c r="F328" s="1">
        <v>43706</v>
      </c>
      <c r="G328" t="s">
        <v>1049</v>
      </c>
      <c r="H328" t="s">
        <v>1050</v>
      </c>
      <c r="I328" t="s">
        <v>39</v>
      </c>
      <c r="J328">
        <v>2304</v>
      </c>
      <c r="K328">
        <v>408</v>
      </c>
      <c r="L328" t="s">
        <v>60</v>
      </c>
      <c r="M328" s="1">
        <v>43715</v>
      </c>
      <c r="N328" t="s">
        <v>29</v>
      </c>
      <c r="O328" t="s">
        <v>30</v>
      </c>
      <c r="P328">
        <v>9</v>
      </c>
      <c r="Q328" t="s">
        <v>43</v>
      </c>
      <c r="R328" t="s">
        <v>100</v>
      </c>
      <c r="S328">
        <v>8</v>
      </c>
      <c r="T328">
        <v>2019</v>
      </c>
      <c r="U328" t="s">
        <v>45</v>
      </c>
    </row>
    <row r="329" spans="1:21" x14ac:dyDescent="0.3">
      <c r="A329" t="s">
        <v>1051</v>
      </c>
      <c r="B329">
        <v>52</v>
      </c>
      <c r="C329" t="s">
        <v>22</v>
      </c>
      <c r="D329" t="s">
        <v>127</v>
      </c>
      <c r="E329" t="s">
        <v>96</v>
      </c>
      <c r="F329" s="1">
        <v>45414</v>
      </c>
      <c r="G329" t="s">
        <v>1052</v>
      </c>
      <c r="H329" t="s">
        <v>1053</v>
      </c>
      <c r="I329" t="s">
        <v>51</v>
      </c>
      <c r="J329">
        <v>1878.01</v>
      </c>
      <c r="K329">
        <v>188</v>
      </c>
      <c r="L329" t="s">
        <v>60</v>
      </c>
      <c r="M329" s="1">
        <v>45433</v>
      </c>
      <c r="N329" t="s">
        <v>29</v>
      </c>
      <c r="O329" t="s">
        <v>61</v>
      </c>
      <c r="P329">
        <v>19</v>
      </c>
      <c r="Q329" t="s">
        <v>68</v>
      </c>
      <c r="R329" t="s">
        <v>100</v>
      </c>
      <c r="S329">
        <v>5</v>
      </c>
      <c r="T329">
        <v>2024</v>
      </c>
      <c r="U329" t="s">
        <v>90</v>
      </c>
    </row>
    <row r="330" spans="1:21" x14ac:dyDescent="0.3">
      <c r="A330" t="s">
        <v>1054</v>
      </c>
      <c r="B330">
        <v>25</v>
      </c>
      <c r="C330" t="s">
        <v>22</v>
      </c>
      <c r="D330" t="s">
        <v>127</v>
      </c>
      <c r="E330" t="s">
        <v>70</v>
      </c>
      <c r="F330" s="1">
        <v>43977</v>
      </c>
      <c r="G330" t="s">
        <v>1055</v>
      </c>
      <c r="H330" t="s">
        <v>1056</v>
      </c>
      <c r="I330" t="s">
        <v>27</v>
      </c>
      <c r="J330">
        <v>19160.990000000002</v>
      </c>
      <c r="K330">
        <v>361</v>
      </c>
      <c r="L330" t="s">
        <v>60</v>
      </c>
      <c r="M330" s="1">
        <v>43982</v>
      </c>
      <c r="N330" t="s">
        <v>67</v>
      </c>
      <c r="O330" t="s">
        <v>30</v>
      </c>
      <c r="P330">
        <v>5</v>
      </c>
      <c r="Q330" t="s">
        <v>31</v>
      </c>
      <c r="R330" t="s">
        <v>32</v>
      </c>
      <c r="S330">
        <v>5</v>
      </c>
      <c r="T330">
        <v>2020</v>
      </c>
      <c r="U330" t="s">
        <v>90</v>
      </c>
    </row>
    <row r="331" spans="1:21" x14ac:dyDescent="0.3">
      <c r="A331" t="s">
        <v>1057</v>
      </c>
      <c r="B331">
        <v>56</v>
      </c>
      <c r="C331" t="s">
        <v>22</v>
      </c>
      <c r="D331" t="s">
        <v>127</v>
      </c>
      <c r="E331" t="s">
        <v>24</v>
      </c>
      <c r="F331" s="1">
        <v>45371</v>
      </c>
      <c r="G331" t="s">
        <v>1058</v>
      </c>
      <c r="H331" t="s">
        <v>1059</v>
      </c>
      <c r="I331" t="s">
        <v>27</v>
      </c>
      <c r="J331">
        <v>5811.63</v>
      </c>
      <c r="K331">
        <v>176</v>
      </c>
      <c r="L331" t="s">
        <v>28</v>
      </c>
      <c r="M331" s="1">
        <v>45388</v>
      </c>
      <c r="N331" t="s">
        <v>29</v>
      </c>
      <c r="O331" t="s">
        <v>30</v>
      </c>
      <c r="P331">
        <v>17</v>
      </c>
      <c r="Q331" t="s">
        <v>43</v>
      </c>
      <c r="R331" t="s">
        <v>100</v>
      </c>
      <c r="S331">
        <v>3</v>
      </c>
      <c r="T331">
        <v>2024</v>
      </c>
      <c r="U331" t="s">
        <v>122</v>
      </c>
    </row>
    <row r="332" spans="1:21" x14ac:dyDescent="0.3">
      <c r="A332" t="s">
        <v>1060</v>
      </c>
      <c r="B332">
        <v>44</v>
      </c>
      <c r="C332" t="s">
        <v>22</v>
      </c>
      <c r="D332" t="s">
        <v>56</v>
      </c>
      <c r="E332" t="s">
        <v>57</v>
      </c>
      <c r="F332" s="1">
        <v>45378</v>
      </c>
      <c r="G332" t="s">
        <v>1061</v>
      </c>
      <c r="H332" t="s">
        <v>1062</v>
      </c>
      <c r="I332" t="s">
        <v>39</v>
      </c>
      <c r="J332">
        <v>22868.53</v>
      </c>
      <c r="K332">
        <v>295</v>
      </c>
      <c r="L332" t="s">
        <v>60</v>
      </c>
      <c r="M332" s="1">
        <v>45390</v>
      </c>
      <c r="N332" t="s">
        <v>41</v>
      </c>
      <c r="O332" t="s">
        <v>61</v>
      </c>
      <c r="P332">
        <v>12</v>
      </c>
      <c r="Q332" t="s">
        <v>68</v>
      </c>
      <c r="R332" t="s">
        <v>32</v>
      </c>
      <c r="S332">
        <v>3</v>
      </c>
      <c r="T332">
        <v>2024</v>
      </c>
      <c r="U332" t="s">
        <v>122</v>
      </c>
    </row>
    <row r="333" spans="1:21" x14ac:dyDescent="0.3">
      <c r="A333" t="s">
        <v>1063</v>
      </c>
      <c r="B333">
        <v>30</v>
      </c>
      <c r="C333" t="s">
        <v>47</v>
      </c>
      <c r="D333" t="s">
        <v>56</v>
      </c>
      <c r="E333" t="s">
        <v>115</v>
      </c>
      <c r="F333" s="1">
        <v>44277</v>
      </c>
      <c r="G333" t="s">
        <v>1064</v>
      </c>
      <c r="H333" t="s">
        <v>1065</v>
      </c>
      <c r="I333" t="s">
        <v>27</v>
      </c>
      <c r="J333">
        <v>48281.91</v>
      </c>
      <c r="K333">
        <v>415</v>
      </c>
      <c r="L333" t="s">
        <v>28</v>
      </c>
      <c r="M333" s="1">
        <v>44280</v>
      </c>
      <c r="N333" t="s">
        <v>41</v>
      </c>
      <c r="O333" t="s">
        <v>61</v>
      </c>
      <c r="P333">
        <v>3</v>
      </c>
      <c r="Q333" t="s">
        <v>31</v>
      </c>
      <c r="R333" t="s">
        <v>44</v>
      </c>
      <c r="S333">
        <v>3</v>
      </c>
      <c r="T333">
        <v>2021</v>
      </c>
      <c r="U333" t="s">
        <v>122</v>
      </c>
    </row>
    <row r="334" spans="1:21" x14ac:dyDescent="0.3">
      <c r="A334" t="s">
        <v>1066</v>
      </c>
      <c r="B334">
        <v>82</v>
      </c>
      <c r="C334" t="s">
        <v>22</v>
      </c>
      <c r="D334" t="s">
        <v>149</v>
      </c>
      <c r="E334" t="s">
        <v>24</v>
      </c>
      <c r="F334" s="1">
        <v>44107</v>
      </c>
      <c r="G334" t="s">
        <v>1067</v>
      </c>
      <c r="H334" t="s">
        <v>1068</v>
      </c>
      <c r="I334" t="s">
        <v>39</v>
      </c>
      <c r="J334">
        <v>30562.57</v>
      </c>
      <c r="K334">
        <v>185</v>
      </c>
      <c r="L334" t="s">
        <v>40</v>
      </c>
      <c r="M334" s="1">
        <v>44132</v>
      </c>
      <c r="N334" t="s">
        <v>29</v>
      </c>
      <c r="O334" t="s">
        <v>61</v>
      </c>
      <c r="P334">
        <v>25</v>
      </c>
      <c r="Q334" t="s">
        <v>53</v>
      </c>
      <c r="R334" t="s">
        <v>44</v>
      </c>
      <c r="S334">
        <v>10</v>
      </c>
      <c r="T334">
        <v>2020</v>
      </c>
      <c r="U334" t="s">
        <v>110</v>
      </c>
    </row>
    <row r="335" spans="1:21" x14ac:dyDescent="0.3">
      <c r="A335" t="s">
        <v>1069</v>
      </c>
      <c r="B335">
        <v>67</v>
      </c>
      <c r="C335" t="s">
        <v>22</v>
      </c>
      <c r="D335" t="s">
        <v>127</v>
      </c>
      <c r="E335" t="s">
        <v>36</v>
      </c>
      <c r="F335" s="1">
        <v>45063</v>
      </c>
      <c r="G335" t="s">
        <v>1070</v>
      </c>
      <c r="H335" t="s">
        <v>1071</v>
      </c>
      <c r="I335" t="s">
        <v>39</v>
      </c>
      <c r="J335">
        <v>24293.63</v>
      </c>
      <c r="K335">
        <v>278</v>
      </c>
      <c r="L335" t="s">
        <v>40</v>
      </c>
      <c r="M335" s="1">
        <v>45077</v>
      </c>
      <c r="N335" t="s">
        <v>41</v>
      </c>
      <c r="O335" t="s">
        <v>30</v>
      </c>
      <c r="P335">
        <v>14</v>
      </c>
      <c r="Q335" t="s">
        <v>43</v>
      </c>
      <c r="R335" t="s">
        <v>32</v>
      </c>
      <c r="S335">
        <v>5</v>
      </c>
      <c r="T335">
        <v>2023</v>
      </c>
      <c r="U335" t="s">
        <v>90</v>
      </c>
    </row>
    <row r="336" spans="1:21" x14ac:dyDescent="0.3">
      <c r="A336" t="s">
        <v>1072</v>
      </c>
      <c r="B336">
        <v>41</v>
      </c>
      <c r="C336" t="s">
        <v>22</v>
      </c>
      <c r="D336" t="s">
        <v>35</v>
      </c>
      <c r="E336" t="s">
        <v>115</v>
      </c>
      <c r="F336" s="1">
        <v>44785</v>
      </c>
      <c r="G336" t="s">
        <v>1073</v>
      </c>
      <c r="H336" t="s">
        <v>1074</v>
      </c>
      <c r="I336" t="s">
        <v>51</v>
      </c>
      <c r="J336">
        <v>5878.78</v>
      </c>
      <c r="K336">
        <v>358</v>
      </c>
      <c r="L336" t="s">
        <v>40</v>
      </c>
      <c r="M336" s="1">
        <v>44804</v>
      </c>
      <c r="N336" t="s">
        <v>41</v>
      </c>
      <c r="O336" t="s">
        <v>61</v>
      </c>
      <c r="P336">
        <v>19</v>
      </c>
      <c r="Q336" t="s">
        <v>68</v>
      </c>
      <c r="R336" t="s">
        <v>100</v>
      </c>
      <c r="S336">
        <v>8</v>
      </c>
      <c r="T336">
        <v>2022</v>
      </c>
      <c r="U336" t="s">
        <v>45</v>
      </c>
    </row>
    <row r="337" spans="1:21" x14ac:dyDescent="0.3">
      <c r="A337" t="s">
        <v>1075</v>
      </c>
      <c r="B337">
        <v>84</v>
      </c>
      <c r="C337" t="s">
        <v>22</v>
      </c>
      <c r="D337" t="s">
        <v>48</v>
      </c>
      <c r="E337" t="s">
        <v>115</v>
      </c>
      <c r="F337" s="1">
        <v>44002</v>
      </c>
      <c r="G337" t="s">
        <v>1076</v>
      </c>
      <c r="H337" t="s">
        <v>1077</v>
      </c>
      <c r="I337" t="s">
        <v>73</v>
      </c>
      <c r="J337">
        <v>28410.44</v>
      </c>
      <c r="K337">
        <v>451</v>
      </c>
      <c r="L337" t="s">
        <v>28</v>
      </c>
      <c r="M337" s="1">
        <v>44004</v>
      </c>
      <c r="N337" t="s">
        <v>41</v>
      </c>
      <c r="O337" t="s">
        <v>61</v>
      </c>
      <c r="P337">
        <v>2</v>
      </c>
      <c r="Q337" t="s">
        <v>53</v>
      </c>
      <c r="R337" t="s">
        <v>32</v>
      </c>
      <c r="S337">
        <v>6</v>
      </c>
      <c r="T337">
        <v>2020</v>
      </c>
      <c r="U337" t="s">
        <v>118</v>
      </c>
    </row>
    <row r="338" spans="1:21" x14ac:dyDescent="0.3">
      <c r="A338" t="s">
        <v>1078</v>
      </c>
      <c r="B338">
        <v>85</v>
      </c>
      <c r="C338" t="s">
        <v>47</v>
      </c>
      <c r="D338" t="s">
        <v>64</v>
      </c>
      <c r="E338" t="s">
        <v>70</v>
      </c>
      <c r="F338" s="1">
        <v>45036</v>
      </c>
      <c r="G338" t="s">
        <v>1079</v>
      </c>
      <c r="H338" t="s">
        <v>1080</v>
      </c>
      <c r="I338" t="s">
        <v>39</v>
      </c>
      <c r="J338">
        <v>27414.02</v>
      </c>
      <c r="K338">
        <v>390</v>
      </c>
      <c r="L338" t="s">
        <v>40</v>
      </c>
      <c r="M338" s="1">
        <v>45051</v>
      </c>
      <c r="N338" t="s">
        <v>41</v>
      </c>
      <c r="O338" t="s">
        <v>30</v>
      </c>
      <c r="P338">
        <v>15</v>
      </c>
      <c r="Q338" t="s">
        <v>53</v>
      </c>
      <c r="R338" t="s">
        <v>32</v>
      </c>
      <c r="S338">
        <v>4</v>
      </c>
      <c r="T338">
        <v>2023</v>
      </c>
      <c r="U338" t="s">
        <v>94</v>
      </c>
    </row>
    <row r="339" spans="1:21" x14ac:dyDescent="0.3">
      <c r="A339" t="s">
        <v>1081</v>
      </c>
      <c r="B339">
        <v>26</v>
      </c>
      <c r="C339" t="s">
        <v>47</v>
      </c>
      <c r="D339" t="s">
        <v>48</v>
      </c>
      <c r="E339" t="s">
        <v>96</v>
      </c>
      <c r="F339" s="1">
        <v>43766</v>
      </c>
      <c r="G339" t="s">
        <v>1082</v>
      </c>
      <c r="H339" t="s">
        <v>1083</v>
      </c>
      <c r="I339" t="s">
        <v>51</v>
      </c>
      <c r="J339">
        <v>5826.24</v>
      </c>
      <c r="K339">
        <v>226</v>
      </c>
      <c r="L339" t="s">
        <v>40</v>
      </c>
      <c r="M339" s="1">
        <v>43790</v>
      </c>
      <c r="N339" t="s">
        <v>67</v>
      </c>
      <c r="O339" t="s">
        <v>61</v>
      </c>
      <c r="P339">
        <v>24</v>
      </c>
      <c r="Q339" t="s">
        <v>31</v>
      </c>
      <c r="R339" t="s">
        <v>100</v>
      </c>
      <c r="S339">
        <v>10</v>
      </c>
      <c r="T339">
        <v>2019</v>
      </c>
      <c r="U339" t="s">
        <v>110</v>
      </c>
    </row>
    <row r="340" spans="1:21" x14ac:dyDescent="0.3">
      <c r="A340" t="s">
        <v>1084</v>
      </c>
      <c r="B340">
        <v>49</v>
      </c>
      <c r="C340" t="s">
        <v>47</v>
      </c>
      <c r="D340" t="s">
        <v>56</v>
      </c>
      <c r="E340" t="s">
        <v>57</v>
      </c>
      <c r="F340" s="1">
        <v>44439</v>
      </c>
      <c r="G340" t="s">
        <v>1085</v>
      </c>
      <c r="H340" t="s">
        <v>1086</v>
      </c>
      <c r="I340" t="s">
        <v>82</v>
      </c>
      <c r="J340">
        <v>2133.7399999999998</v>
      </c>
      <c r="K340">
        <v>189</v>
      </c>
      <c r="L340" t="s">
        <v>28</v>
      </c>
      <c r="M340" s="1">
        <v>44444</v>
      </c>
      <c r="N340" t="s">
        <v>41</v>
      </c>
      <c r="O340" t="s">
        <v>30</v>
      </c>
      <c r="P340">
        <v>5</v>
      </c>
      <c r="Q340" t="s">
        <v>68</v>
      </c>
      <c r="R340" t="s">
        <v>100</v>
      </c>
      <c r="S340">
        <v>8</v>
      </c>
      <c r="T340">
        <v>2021</v>
      </c>
      <c r="U340" t="s">
        <v>45</v>
      </c>
    </row>
    <row r="341" spans="1:21" x14ac:dyDescent="0.3">
      <c r="A341" t="s">
        <v>1087</v>
      </c>
      <c r="B341">
        <v>47</v>
      </c>
      <c r="C341" t="s">
        <v>47</v>
      </c>
      <c r="D341" t="s">
        <v>35</v>
      </c>
      <c r="E341" t="s">
        <v>96</v>
      </c>
      <c r="F341" s="1">
        <v>44391</v>
      </c>
      <c r="G341" t="s">
        <v>1088</v>
      </c>
      <c r="H341" t="s">
        <v>1089</v>
      </c>
      <c r="I341" t="s">
        <v>27</v>
      </c>
      <c r="J341">
        <v>34262.61</v>
      </c>
      <c r="K341">
        <v>112</v>
      </c>
      <c r="L341" t="s">
        <v>28</v>
      </c>
      <c r="M341" s="1">
        <v>44414</v>
      </c>
      <c r="N341" t="s">
        <v>67</v>
      </c>
      <c r="O341" t="s">
        <v>42</v>
      </c>
      <c r="P341">
        <v>23</v>
      </c>
      <c r="Q341" t="s">
        <v>68</v>
      </c>
      <c r="R341" t="s">
        <v>44</v>
      </c>
      <c r="S341">
        <v>7</v>
      </c>
      <c r="T341">
        <v>2021</v>
      </c>
      <c r="U341" t="s">
        <v>86</v>
      </c>
    </row>
    <row r="342" spans="1:21" x14ac:dyDescent="0.3">
      <c r="A342" t="s">
        <v>1090</v>
      </c>
      <c r="B342">
        <v>69</v>
      </c>
      <c r="C342" t="s">
        <v>22</v>
      </c>
      <c r="D342" t="s">
        <v>48</v>
      </c>
      <c r="E342" t="s">
        <v>57</v>
      </c>
      <c r="F342" s="1">
        <v>44582</v>
      </c>
      <c r="G342" t="s">
        <v>1091</v>
      </c>
      <c r="H342" t="s">
        <v>1092</v>
      </c>
      <c r="I342" t="s">
        <v>51</v>
      </c>
      <c r="J342">
        <v>44897.05</v>
      </c>
      <c r="K342">
        <v>283</v>
      </c>
      <c r="L342" t="s">
        <v>60</v>
      </c>
      <c r="M342" s="1">
        <v>44594</v>
      </c>
      <c r="N342" t="s">
        <v>29</v>
      </c>
      <c r="O342" t="s">
        <v>30</v>
      </c>
      <c r="P342">
        <v>12</v>
      </c>
      <c r="Q342" t="s">
        <v>43</v>
      </c>
      <c r="R342" t="s">
        <v>44</v>
      </c>
      <c r="S342">
        <v>1</v>
      </c>
      <c r="T342">
        <v>2022</v>
      </c>
      <c r="U342" t="s">
        <v>33</v>
      </c>
    </row>
    <row r="343" spans="1:21" x14ac:dyDescent="0.3">
      <c r="A343" t="s">
        <v>1093</v>
      </c>
      <c r="B343">
        <v>78</v>
      </c>
      <c r="C343" t="s">
        <v>47</v>
      </c>
      <c r="D343" t="s">
        <v>56</v>
      </c>
      <c r="E343" t="s">
        <v>70</v>
      </c>
      <c r="F343" s="1">
        <v>43724</v>
      </c>
      <c r="G343" t="s">
        <v>1094</v>
      </c>
      <c r="H343" t="s">
        <v>1095</v>
      </c>
      <c r="I343" t="s">
        <v>82</v>
      </c>
      <c r="J343">
        <v>22230.12</v>
      </c>
      <c r="K343">
        <v>439</v>
      </c>
      <c r="L343" t="s">
        <v>28</v>
      </c>
      <c r="M343" s="1">
        <v>43754</v>
      </c>
      <c r="N343" t="s">
        <v>67</v>
      </c>
      <c r="O343" t="s">
        <v>30</v>
      </c>
      <c r="P343">
        <v>30</v>
      </c>
      <c r="Q343" t="s">
        <v>53</v>
      </c>
      <c r="R343" t="s">
        <v>32</v>
      </c>
      <c r="S343">
        <v>9</v>
      </c>
      <c r="T343">
        <v>2019</v>
      </c>
      <c r="U343" t="s">
        <v>54</v>
      </c>
    </row>
    <row r="344" spans="1:21" x14ac:dyDescent="0.3">
      <c r="A344" t="s">
        <v>1096</v>
      </c>
      <c r="B344">
        <v>29</v>
      </c>
      <c r="C344" t="s">
        <v>22</v>
      </c>
      <c r="D344" t="s">
        <v>64</v>
      </c>
      <c r="E344" t="s">
        <v>57</v>
      </c>
      <c r="F344" s="1">
        <v>44946</v>
      </c>
      <c r="G344" t="s">
        <v>1097</v>
      </c>
      <c r="H344" t="s">
        <v>1098</v>
      </c>
      <c r="I344" t="s">
        <v>82</v>
      </c>
      <c r="J344">
        <v>32895.1</v>
      </c>
      <c r="K344">
        <v>123</v>
      </c>
      <c r="L344" t="s">
        <v>28</v>
      </c>
      <c r="M344" s="1">
        <v>44955</v>
      </c>
      <c r="N344" t="s">
        <v>52</v>
      </c>
      <c r="O344" t="s">
        <v>61</v>
      </c>
      <c r="P344">
        <v>9</v>
      </c>
      <c r="Q344" t="s">
        <v>31</v>
      </c>
      <c r="R344" t="s">
        <v>44</v>
      </c>
      <c r="S344">
        <v>1</v>
      </c>
      <c r="T344">
        <v>2023</v>
      </c>
      <c r="U344" t="s">
        <v>33</v>
      </c>
    </row>
    <row r="345" spans="1:21" x14ac:dyDescent="0.3">
      <c r="A345" t="s">
        <v>1099</v>
      </c>
      <c r="B345">
        <v>73</v>
      </c>
      <c r="C345" t="s">
        <v>22</v>
      </c>
      <c r="D345" t="s">
        <v>35</v>
      </c>
      <c r="E345" t="s">
        <v>24</v>
      </c>
      <c r="F345" s="1">
        <v>43834</v>
      </c>
      <c r="G345" t="s">
        <v>1100</v>
      </c>
      <c r="H345" t="s">
        <v>1101</v>
      </c>
      <c r="I345" t="s">
        <v>39</v>
      </c>
      <c r="J345">
        <v>5349.06</v>
      </c>
      <c r="K345">
        <v>469</v>
      </c>
      <c r="L345" t="s">
        <v>40</v>
      </c>
      <c r="M345" s="1">
        <v>43846</v>
      </c>
      <c r="N345" t="s">
        <v>29</v>
      </c>
      <c r="O345" t="s">
        <v>30</v>
      </c>
      <c r="P345">
        <v>12</v>
      </c>
      <c r="Q345" t="s">
        <v>53</v>
      </c>
      <c r="R345" t="s">
        <v>100</v>
      </c>
      <c r="S345">
        <v>1</v>
      </c>
      <c r="T345">
        <v>2020</v>
      </c>
      <c r="U345" t="s">
        <v>33</v>
      </c>
    </row>
    <row r="346" spans="1:21" x14ac:dyDescent="0.3">
      <c r="A346" t="s">
        <v>1102</v>
      </c>
      <c r="B346">
        <v>53</v>
      </c>
      <c r="C346" t="s">
        <v>22</v>
      </c>
      <c r="D346" t="s">
        <v>76</v>
      </c>
      <c r="E346" t="s">
        <v>36</v>
      </c>
      <c r="F346" s="1">
        <v>45354</v>
      </c>
      <c r="G346" t="s">
        <v>1103</v>
      </c>
      <c r="H346" t="s">
        <v>1104</v>
      </c>
      <c r="I346" t="s">
        <v>82</v>
      </c>
      <c r="J346">
        <v>23235.85</v>
      </c>
      <c r="K346">
        <v>442</v>
      </c>
      <c r="L346" t="s">
        <v>60</v>
      </c>
      <c r="M346" s="1">
        <v>45366</v>
      </c>
      <c r="N346" t="s">
        <v>52</v>
      </c>
      <c r="O346" t="s">
        <v>42</v>
      </c>
      <c r="P346">
        <v>12</v>
      </c>
      <c r="Q346" t="s">
        <v>68</v>
      </c>
      <c r="R346" t="s">
        <v>32</v>
      </c>
      <c r="S346">
        <v>3</v>
      </c>
      <c r="T346">
        <v>2024</v>
      </c>
      <c r="U346" t="s">
        <v>122</v>
      </c>
    </row>
    <row r="347" spans="1:21" x14ac:dyDescent="0.3">
      <c r="A347" t="s">
        <v>1105</v>
      </c>
      <c r="B347">
        <v>34</v>
      </c>
      <c r="C347" t="s">
        <v>22</v>
      </c>
      <c r="D347" t="s">
        <v>64</v>
      </c>
      <c r="E347" t="s">
        <v>57</v>
      </c>
      <c r="F347" s="1">
        <v>43652</v>
      </c>
      <c r="G347" t="s">
        <v>1106</v>
      </c>
      <c r="H347" t="s">
        <v>1107</v>
      </c>
      <c r="I347" t="s">
        <v>51</v>
      </c>
      <c r="J347">
        <v>25683.279999999999</v>
      </c>
      <c r="K347">
        <v>295</v>
      </c>
      <c r="L347" t="s">
        <v>60</v>
      </c>
      <c r="M347" s="1">
        <v>43678</v>
      </c>
      <c r="N347" t="s">
        <v>29</v>
      </c>
      <c r="O347" t="s">
        <v>42</v>
      </c>
      <c r="P347">
        <v>26</v>
      </c>
      <c r="Q347" t="s">
        <v>31</v>
      </c>
      <c r="R347" t="s">
        <v>32</v>
      </c>
      <c r="S347">
        <v>7</v>
      </c>
      <c r="T347">
        <v>2019</v>
      </c>
      <c r="U347" t="s">
        <v>86</v>
      </c>
    </row>
    <row r="348" spans="1:21" x14ac:dyDescent="0.3">
      <c r="A348" t="s">
        <v>1108</v>
      </c>
      <c r="B348">
        <v>38</v>
      </c>
      <c r="C348" t="s">
        <v>47</v>
      </c>
      <c r="D348" t="s">
        <v>76</v>
      </c>
      <c r="E348" t="s">
        <v>36</v>
      </c>
      <c r="F348" s="1">
        <v>44896</v>
      </c>
      <c r="G348" t="s">
        <v>1109</v>
      </c>
      <c r="H348" t="s">
        <v>1110</v>
      </c>
      <c r="I348" t="s">
        <v>82</v>
      </c>
      <c r="J348">
        <v>45560.28</v>
      </c>
      <c r="K348">
        <v>309</v>
      </c>
      <c r="L348" t="s">
        <v>60</v>
      </c>
      <c r="M348" s="1">
        <v>44898</v>
      </c>
      <c r="N348" t="s">
        <v>41</v>
      </c>
      <c r="O348" t="s">
        <v>30</v>
      </c>
      <c r="P348">
        <v>2</v>
      </c>
      <c r="Q348" t="s">
        <v>68</v>
      </c>
      <c r="R348" t="s">
        <v>44</v>
      </c>
      <c r="S348">
        <v>12</v>
      </c>
      <c r="T348">
        <v>2022</v>
      </c>
      <c r="U348" t="s">
        <v>74</v>
      </c>
    </row>
    <row r="349" spans="1:21" x14ac:dyDescent="0.3">
      <c r="A349" t="s">
        <v>1111</v>
      </c>
      <c r="B349">
        <v>70</v>
      </c>
      <c r="C349" t="s">
        <v>47</v>
      </c>
      <c r="D349" t="s">
        <v>23</v>
      </c>
      <c r="E349" t="s">
        <v>115</v>
      </c>
      <c r="F349" s="1">
        <v>43961</v>
      </c>
      <c r="G349" t="s">
        <v>1112</v>
      </c>
      <c r="H349" t="s">
        <v>1113</v>
      </c>
      <c r="I349" t="s">
        <v>73</v>
      </c>
      <c r="J349">
        <v>16850.89</v>
      </c>
      <c r="K349">
        <v>230</v>
      </c>
      <c r="L349" t="s">
        <v>28</v>
      </c>
      <c r="M349" s="1">
        <v>43981</v>
      </c>
      <c r="N349" t="s">
        <v>67</v>
      </c>
      <c r="O349" t="s">
        <v>61</v>
      </c>
      <c r="P349">
        <v>20</v>
      </c>
      <c r="Q349" t="s">
        <v>43</v>
      </c>
      <c r="R349" t="s">
        <v>32</v>
      </c>
      <c r="S349">
        <v>5</v>
      </c>
      <c r="T349">
        <v>2020</v>
      </c>
      <c r="U349" t="s">
        <v>90</v>
      </c>
    </row>
    <row r="350" spans="1:21" x14ac:dyDescent="0.3">
      <c r="A350" t="s">
        <v>1114</v>
      </c>
      <c r="B350">
        <v>59</v>
      </c>
      <c r="C350" t="s">
        <v>47</v>
      </c>
      <c r="D350" t="s">
        <v>64</v>
      </c>
      <c r="E350" t="s">
        <v>96</v>
      </c>
      <c r="F350" s="1">
        <v>45361</v>
      </c>
      <c r="G350" t="s">
        <v>1115</v>
      </c>
      <c r="H350" t="s">
        <v>1116</v>
      </c>
      <c r="I350" t="s">
        <v>51</v>
      </c>
      <c r="J350">
        <v>34366</v>
      </c>
      <c r="K350">
        <v>157</v>
      </c>
      <c r="L350" t="s">
        <v>60</v>
      </c>
      <c r="M350" s="1">
        <v>45367</v>
      </c>
      <c r="N350" t="s">
        <v>41</v>
      </c>
      <c r="O350" t="s">
        <v>42</v>
      </c>
      <c r="P350">
        <v>6</v>
      </c>
      <c r="Q350" t="s">
        <v>43</v>
      </c>
      <c r="R350" t="s">
        <v>44</v>
      </c>
      <c r="S350">
        <v>3</v>
      </c>
      <c r="T350">
        <v>2024</v>
      </c>
      <c r="U350" t="s">
        <v>122</v>
      </c>
    </row>
    <row r="351" spans="1:21" x14ac:dyDescent="0.3">
      <c r="A351" t="s">
        <v>1117</v>
      </c>
      <c r="B351">
        <v>43</v>
      </c>
      <c r="C351" t="s">
        <v>22</v>
      </c>
      <c r="D351" t="s">
        <v>64</v>
      </c>
      <c r="E351" t="s">
        <v>115</v>
      </c>
      <c r="F351" s="1">
        <v>43844</v>
      </c>
      <c r="G351" t="s">
        <v>1118</v>
      </c>
      <c r="H351" t="s">
        <v>1119</v>
      </c>
      <c r="I351" t="s">
        <v>73</v>
      </c>
      <c r="J351">
        <v>11968.02</v>
      </c>
      <c r="K351">
        <v>171</v>
      </c>
      <c r="L351" t="s">
        <v>28</v>
      </c>
      <c r="M351" s="1">
        <v>43849</v>
      </c>
      <c r="N351" t="s">
        <v>29</v>
      </c>
      <c r="O351" t="s">
        <v>42</v>
      </c>
      <c r="P351">
        <v>5</v>
      </c>
      <c r="Q351" t="s">
        <v>68</v>
      </c>
      <c r="R351" t="s">
        <v>32</v>
      </c>
      <c r="S351">
        <v>1</v>
      </c>
      <c r="T351">
        <v>2020</v>
      </c>
      <c r="U351" t="s">
        <v>33</v>
      </c>
    </row>
    <row r="352" spans="1:21" x14ac:dyDescent="0.3">
      <c r="A352" t="s">
        <v>1120</v>
      </c>
      <c r="B352">
        <v>49</v>
      </c>
      <c r="C352" t="s">
        <v>22</v>
      </c>
      <c r="D352" t="s">
        <v>23</v>
      </c>
      <c r="E352" t="s">
        <v>57</v>
      </c>
      <c r="F352" s="1">
        <v>43989</v>
      </c>
      <c r="G352" t="s">
        <v>1121</v>
      </c>
      <c r="H352" t="s">
        <v>1122</v>
      </c>
      <c r="I352" t="s">
        <v>82</v>
      </c>
      <c r="J352">
        <v>10076.89</v>
      </c>
      <c r="K352">
        <v>380</v>
      </c>
      <c r="L352" t="s">
        <v>60</v>
      </c>
      <c r="M352" s="1">
        <v>44008</v>
      </c>
      <c r="N352" t="s">
        <v>67</v>
      </c>
      <c r="O352" t="s">
        <v>42</v>
      </c>
      <c r="P352">
        <v>19</v>
      </c>
      <c r="Q352" t="s">
        <v>68</v>
      </c>
      <c r="R352" t="s">
        <v>32</v>
      </c>
      <c r="S352">
        <v>6</v>
      </c>
      <c r="T352">
        <v>2020</v>
      </c>
      <c r="U352" t="s">
        <v>118</v>
      </c>
    </row>
    <row r="353" spans="1:21" x14ac:dyDescent="0.3">
      <c r="A353" t="s">
        <v>1123</v>
      </c>
      <c r="B353">
        <v>63</v>
      </c>
      <c r="C353" t="s">
        <v>22</v>
      </c>
      <c r="D353" t="s">
        <v>76</v>
      </c>
      <c r="E353" t="s">
        <v>70</v>
      </c>
      <c r="F353" s="1">
        <v>44146</v>
      </c>
      <c r="G353" t="s">
        <v>1124</v>
      </c>
      <c r="H353" t="s">
        <v>1125</v>
      </c>
      <c r="I353" t="s">
        <v>27</v>
      </c>
      <c r="J353">
        <v>44582.82</v>
      </c>
      <c r="K353">
        <v>189</v>
      </c>
      <c r="L353" t="s">
        <v>60</v>
      </c>
      <c r="M353" s="1">
        <v>44165</v>
      </c>
      <c r="N353" t="s">
        <v>67</v>
      </c>
      <c r="O353" t="s">
        <v>61</v>
      </c>
      <c r="P353">
        <v>19</v>
      </c>
      <c r="Q353" t="s">
        <v>43</v>
      </c>
      <c r="R353" t="s">
        <v>44</v>
      </c>
      <c r="S353">
        <v>11</v>
      </c>
      <c r="T353">
        <v>2020</v>
      </c>
      <c r="U353" t="s">
        <v>62</v>
      </c>
    </row>
    <row r="354" spans="1:21" x14ac:dyDescent="0.3">
      <c r="A354" t="s">
        <v>1126</v>
      </c>
      <c r="B354">
        <v>40</v>
      </c>
      <c r="C354" t="s">
        <v>47</v>
      </c>
      <c r="D354" t="s">
        <v>56</v>
      </c>
      <c r="E354" t="s">
        <v>70</v>
      </c>
      <c r="F354" s="1">
        <v>44323</v>
      </c>
      <c r="G354" t="s">
        <v>670</v>
      </c>
      <c r="H354" t="s">
        <v>1127</v>
      </c>
      <c r="I354" t="s">
        <v>39</v>
      </c>
      <c r="J354">
        <v>30334.99</v>
      </c>
      <c r="K354">
        <v>102</v>
      </c>
      <c r="L354" t="s">
        <v>28</v>
      </c>
      <c r="M354" s="1">
        <v>44347</v>
      </c>
      <c r="N354" t="s">
        <v>52</v>
      </c>
      <c r="O354" t="s">
        <v>61</v>
      </c>
      <c r="P354">
        <v>24</v>
      </c>
      <c r="Q354" t="s">
        <v>68</v>
      </c>
      <c r="R354" t="s">
        <v>44</v>
      </c>
      <c r="S354">
        <v>5</v>
      </c>
      <c r="T354">
        <v>2021</v>
      </c>
      <c r="U354" t="s">
        <v>90</v>
      </c>
    </row>
    <row r="355" spans="1:21" x14ac:dyDescent="0.3">
      <c r="A355" t="s">
        <v>1128</v>
      </c>
      <c r="B355">
        <v>80</v>
      </c>
      <c r="C355" t="s">
        <v>22</v>
      </c>
      <c r="D355" t="s">
        <v>23</v>
      </c>
      <c r="E355" t="s">
        <v>115</v>
      </c>
      <c r="F355" s="1">
        <v>44390</v>
      </c>
      <c r="G355" t="s">
        <v>1129</v>
      </c>
      <c r="H355" t="s">
        <v>1130</v>
      </c>
      <c r="I355" t="s">
        <v>82</v>
      </c>
      <c r="J355">
        <v>6196.64</v>
      </c>
      <c r="K355">
        <v>484</v>
      </c>
      <c r="L355" t="s">
        <v>28</v>
      </c>
      <c r="M355" s="1">
        <v>44413</v>
      </c>
      <c r="N355" t="s">
        <v>67</v>
      </c>
      <c r="O355" t="s">
        <v>30</v>
      </c>
      <c r="P355">
        <v>23</v>
      </c>
      <c r="Q355" t="s">
        <v>53</v>
      </c>
      <c r="R355" t="s">
        <v>100</v>
      </c>
      <c r="S355">
        <v>7</v>
      </c>
      <c r="T355">
        <v>2021</v>
      </c>
      <c r="U355" t="s">
        <v>86</v>
      </c>
    </row>
    <row r="356" spans="1:21" x14ac:dyDescent="0.3">
      <c r="A356" t="s">
        <v>1131</v>
      </c>
      <c r="B356">
        <v>74</v>
      </c>
      <c r="C356" t="s">
        <v>47</v>
      </c>
      <c r="D356" t="s">
        <v>127</v>
      </c>
      <c r="E356" t="s">
        <v>24</v>
      </c>
      <c r="F356" s="1">
        <v>45376</v>
      </c>
      <c r="G356" t="s">
        <v>1132</v>
      </c>
      <c r="H356" t="s">
        <v>1133</v>
      </c>
      <c r="I356" t="s">
        <v>82</v>
      </c>
      <c r="J356">
        <v>45438.91</v>
      </c>
      <c r="K356">
        <v>256</v>
      </c>
      <c r="L356" t="s">
        <v>40</v>
      </c>
      <c r="M356" s="1">
        <v>45385</v>
      </c>
      <c r="N356" t="s">
        <v>99</v>
      </c>
      <c r="O356" t="s">
        <v>30</v>
      </c>
      <c r="P356">
        <v>9</v>
      </c>
      <c r="Q356" t="s">
        <v>53</v>
      </c>
      <c r="R356" t="s">
        <v>44</v>
      </c>
      <c r="S356">
        <v>3</v>
      </c>
      <c r="T356">
        <v>2024</v>
      </c>
      <c r="U356" t="s">
        <v>122</v>
      </c>
    </row>
    <row r="357" spans="1:21" x14ac:dyDescent="0.3">
      <c r="A357" t="s">
        <v>1134</v>
      </c>
      <c r="B357">
        <v>70</v>
      </c>
      <c r="C357" t="s">
        <v>22</v>
      </c>
      <c r="D357" t="s">
        <v>56</v>
      </c>
      <c r="E357" t="s">
        <v>57</v>
      </c>
      <c r="F357" s="1">
        <v>43915</v>
      </c>
      <c r="G357" t="s">
        <v>1135</v>
      </c>
      <c r="H357" t="s">
        <v>1136</v>
      </c>
      <c r="I357" t="s">
        <v>51</v>
      </c>
      <c r="J357">
        <v>43707.18</v>
      </c>
      <c r="K357">
        <v>365</v>
      </c>
      <c r="L357" t="s">
        <v>28</v>
      </c>
      <c r="M357" s="1">
        <v>43923</v>
      </c>
      <c r="N357" t="s">
        <v>99</v>
      </c>
      <c r="O357" t="s">
        <v>30</v>
      </c>
      <c r="P357">
        <v>8</v>
      </c>
      <c r="Q357" t="s">
        <v>43</v>
      </c>
      <c r="R357" t="s">
        <v>44</v>
      </c>
      <c r="S357">
        <v>3</v>
      </c>
      <c r="T357">
        <v>2020</v>
      </c>
      <c r="U357" t="s">
        <v>122</v>
      </c>
    </row>
    <row r="358" spans="1:21" x14ac:dyDescent="0.3">
      <c r="A358" t="s">
        <v>1137</v>
      </c>
      <c r="B358">
        <v>39</v>
      </c>
      <c r="C358" t="s">
        <v>47</v>
      </c>
      <c r="D358" t="s">
        <v>76</v>
      </c>
      <c r="E358" t="s">
        <v>57</v>
      </c>
      <c r="F358" s="1">
        <v>45060</v>
      </c>
      <c r="G358" t="s">
        <v>1138</v>
      </c>
      <c r="H358" t="s">
        <v>1139</v>
      </c>
      <c r="I358" t="s">
        <v>27</v>
      </c>
      <c r="J358">
        <v>20105.03</v>
      </c>
      <c r="K358">
        <v>286</v>
      </c>
      <c r="L358" t="s">
        <v>28</v>
      </c>
      <c r="M358" s="1">
        <v>45066</v>
      </c>
      <c r="N358" t="s">
        <v>67</v>
      </c>
      <c r="O358" t="s">
        <v>30</v>
      </c>
      <c r="P358">
        <v>6</v>
      </c>
      <c r="Q358" t="s">
        <v>68</v>
      </c>
      <c r="R358" t="s">
        <v>32</v>
      </c>
      <c r="S358">
        <v>5</v>
      </c>
      <c r="T358">
        <v>2023</v>
      </c>
      <c r="U358" t="s">
        <v>90</v>
      </c>
    </row>
    <row r="359" spans="1:21" x14ac:dyDescent="0.3">
      <c r="A359" t="s">
        <v>1140</v>
      </c>
      <c r="B359">
        <v>47</v>
      </c>
      <c r="C359" t="s">
        <v>47</v>
      </c>
      <c r="D359" t="s">
        <v>64</v>
      </c>
      <c r="E359" t="s">
        <v>57</v>
      </c>
      <c r="F359" s="1">
        <v>44884</v>
      </c>
      <c r="G359" t="s">
        <v>1141</v>
      </c>
      <c r="H359" t="s">
        <v>1142</v>
      </c>
      <c r="I359" t="s">
        <v>73</v>
      </c>
      <c r="J359">
        <v>11938.07</v>
      </c>
      <c r="K359">
        <v>452</v>
      </c>
      <c r="L359" t="s">
        <v>28</v>
      </c>
      <c r="M359" s="1">
        <v>44888</v>
      </c>
      <c r="N359" t="s">
        <v>67</v>
      </c>
      <c r="O359" t="s">
        <v>30</v>
      </c>
      <c r="P359">
        <v>4</v>
      </c>
      <c r="Q359" t="s">
        <v>68</v>
      </c>
      <c r="R359" t="s">
        <v>32</v>
      </c>
      <c r="S359">
        <v>11</v>
      </c>
      <c r="T359">
        <v>2022</v>
      </c>
      <c r="U359" t="s">
        <v>62</v>
      </c>
    </row>
    <row r="360" spans="1:21" x14ac:dyDescent="0.3">
      <c r="A360" t="s">
        <v>1143</v>
      </c>
      <c r="B360">
        <v>49</v>
      </c>
      <c r="C360" t="s">
        <v>22</v>
      </c>
      <c r="D360" t="s">
        <v>64</v>
      </c>
      <c r="E360" t="s">
        <v>57</v>
      </c>
      <c r="F360" s="1">
        <v>44265</v>
      </c>
      <c r="G360" t="s">
        <v>1144</v>
      </c>
      <c r="H360" t="s">
        <v>1145</v>
      </c>
      <c r="I360" t="s">
        <v>82</v>
      </c>
      <c r="J360">
        <v>10836.21</v>
      </c>
      <c r="K360">
        <v>481</v>
      </c>
      <c r="L360" t="s">
        <v>40</v>
      </c>
      <c r="M360" s="1">
        <v>44285</v>
      </c>
      <c r="N360" t="s">
        <v>99</v>
      </c>
      <c r="O360" t="s">
        <v>61</v>
      </c>
      <c r="P360">
        <v>20</v>
      </c>
      <c r="Q360" t="s">
        <v>68</v>
      </c>
      <c r="R360" t="s">
        <v>32</v>
      </c>
      <c r="S360">
        <v>3</v>
      </c>
      <c r="T360">
        <v>2021</v>
      </c>
      <c r="U360" t="s">
        <v>122</v>
      </c>
    </row>
    <row r="361" spans="1:21" x14ac:dyDescent="0.3">
      <c r="A361" t="s">
        <v>1146</v>
      </c>
      <c r="B361">
        <v>64</v>
      </c>
      <c r="C361" t="s">
        <v>22</v>
      </c>
      <c r="D361" t="s">
        <v>48</v>
      </c>
      <c r="E361" t="s">
        <v>36</v>
      </c>
      <c r="F361" s="1">
        <v>44150</v>
      </c>
      <c r="G361" t="s">
        <v>1147</v>
      </c>
      <c r="H361" t="s">
        <v>1148</v>
      </c>
      <c r="I361" t="s">
        <v>82</v>
      </c>
      <c r="J361">
        <v>40037.480000000003</v>
      </c>
      <c r="K361">
        <v>278</v>
      </c>
      <c r="L361" t="s">
        <v>28</v>
      </c>
      <c r="M361" s="1">
        <v>44155</v>
      </c>
      <c r="N361" t="s">
        <v>41</v>
      </c>
      <c r="O361" t="s">
        <v>42</v>
      </c>
      <c r="P361">
        <v>5</v>
      </c>
      <c r="Q361" t="s">
        <v>43</v>
      </c>
      <c r="R361" t="s">
        <v>44</v>
      </c>
      <c r="S361">
        <v>11</v>
      </c>
      <c r="T361">
        <v>2020</v>
      </c>
      <c r="U361" t="s">
        <v>62</v>
      </c>
    </row>
    <row r="362" spans="1:21" x14ac:dyDescent="0.3">
      <c r="A362" t="s">
        <v>1149</v>
      </c>
      <c r="B362">
        <v>40</v>
      </c>
      <c r="C362" t="s">
        <v>22</v>
      </c>
      <c r="D362" t="s">
        <v>35</v>
      </c>
      <c r="E362" t="s">
        <v>70</v>
      </c>
      <c r="F362" s="1">
        <v>45319</v>
      </c>
      <c r="G362" t="s">
        <v>1150</v>
      </c>
      <c r="H362" t="s">
        <v>1151</v>
      </c>
      <c r="I362" t="s">
        <v>39</v>
      </c>
      <c r="J362">
        <v>42959.3</v>
      </c>
      <c r="K362">
        <v>410</v>
      </c>
      <c r="L362" t="s">
        <v>60</v>
      </c>
      <c r="M362" s="1">
        <v>45343</v>
      </c>
      <c r="N362" t="s">
        <v>29</v>
      </c>
      <c r="O362" t="s">
        <v>61</v>
      </c>
      <c r="P362">
        <v>24</v>
      </c>
      <c r="Q362" t="s">
        <v>68</v>
      </c>
      <c r="R362" t="s">
        <v>44</v>
      </c>
      <c r="S362">
        <v>1</v>
      </c>
      <c r="T362">
        <v>2024</v>
      </c>
      <c r="U362" t="s">
        <v>33</v>
      </c>
    </row>
    <row r="363" spans="1:21" x14ac:dyDescent="0.3">
      <c r="A363" t="s">
        <v>1152</v>
      </c>
      <c r="B363">
        <v>77</v>
      </c>
      <c r="C363" t="s">
        <v>22</v>
      </c>
      <c r="D363" t="s">
        <v>48</v>
      </c>
      <c r="E363" t="s">
        <v>115</v>
      </c>
      <c r="F363" s="1">
        <v>44019</v>
      </c>
      <c r="G363" t="s">
        <v>1153</v>
      </c>
      <c r="H363" t="s">
        <v>1154</v>
      </c>
      <c r="I363" t="s">
        <v>39</v>
      </c>
      <c r="J363">
        <v>40196.83</v>
      </c>
      <c r="K363">
        <v>152</v>
      </c>
      <c r="L363" t="s">
        <v>28</v>
      </c>
      <c r="M363" s="1">
        <v>44048</v>
      </c>
      <c r="N363" t="s">
        <v>29</v>
      </c>
      <c r="O363" t="s">
        <v>61</v>
      </c>
      <c r="P363">
        <v>29</v>
      </c>
      <c r="Q363" t="s">
        <v>53</v>
      </c>
      <c r="R363" t="s">
        <v>44</v>
      </c>
      <c r="S363">
        <v>7</v>
      </c>
      <c r="T363">
        <v>2020</v>
      </c>
      <c r="U363" t="s">
        <v>86</v>
      </c>
    </row>
    <row r="364" spans="1:21" x14ac:dyDescent="0.3">
      <c r="A364" t="s">
        <v>1155</v>
      </c>
      <c r="B364">
        <v>61</v>
      </c>
      <c r="C364" t="s">
        <v>22</v>
      </c>
      <c r="D364" t="s">
        <v>76</v>
      </c>
      <c r="E364" t="s">
        <v>96</v>
      </c>
      <c r="F364" s="1">
        <v>44948</v>
      </c>
      <c r="G364" t="s">
        <v>1156</v>
      </c>
      <c r="H364" t="s">
        <v>1157</v>
      </c>
      <c r="I364" t="s">
        <v>51</v>
      </c>
      <c r="J364">
        <v>39827.660000000003</v>
      </c>
      <c r="K364">
        <v>172</v>
      </c>
      <c r="L364" t="s">
        <v>60</v>
      </c>
      <c r="M364" s="1">
        <v>44953</v>
      </c>
      <c r="N364" t="s">
        <v>41</v>
      </c>
      <c r="O364" t="s">
        <v>42</v>
      </c>
      <c r="P364">
        <v>5</v>
      </c>
      <c r="Q364" t="s">
        <v>43</v>
      </c>
      <c r="R364" t="s">
        <v>44</v>
      </c>
      <c r="S364">
        <v>1</v>
      </c>
      <c r="T364">
        <v>2023</v>
      </c>
      <c r="U364" t="s">
        <v>33</v>
      </c>
    </row>
    <row r="365" spans="1:21" x14ac:dyDescent="0.3">
      <c r="A365" t="s">
        <v>1158</v>
      </c>
      <c r="B365">
        <v>36</v>
      </c>
      <c r="C365" t="s">
        <v>47</v>
      </c>
      <c r="D365" t="s">
        <v>48</v>
      </c>
      <c r="E365" t="s">
        <v>70</v>
      </c>
      <c r="F365" s="1">
        <v>43961</v>
      </c>
      <c r="G365" t="s">
        <v>1159</v>
      </c>
      <c r="H365" t="s">
        <v>1160</v>
      </c>
      <c r="I365" t="s">
        <v>51</v>
      </c>
      <c r="J365">
        <v>3516.85</v>
      </c>
      <c r="K365">
        <v>314</v>
      </c>
      <c r="L365" t="s">
        <v>40</v>
      </c>
      <c r="M365" s="1">
        <v>43975</v>
      </c>
      <c r="N365" t="s">
        <v>52</v>
      </c>
      <c r="O365" t="s">
        <v>42</v>
      </c>
      <c r="P365">
        <v>14</v>
      </c>
      <c r="Q365" t="s">
        <v>68</v>
      </c>
      <c r="R365" t="s">
        <v>100</v>
      </c>
      <c r="S365">
        <v>5</v>
      </c>
      <c r="T365">
        <v>2020</v>
      </c>
      <c r="U365" t="s">
        <v>90</v>
      </c>
    </row>
    <row r="366" spans="1:21" x14ac:dyDescent="0.3">
      <c r="A366" t="s">
        <v>1161</v>
      </c>
      <c r="B366">
        <v>19</v>
      </c>
      <c r="C366" t="s">
        <v>47</v>
      </c>
      <c r="D366" t="s">
        <v>56</v>
      </c>
      <c r="E366" t="s">
        <v>57</v>
      </c>
      <c r="F366" s="1">
        <v>44386</v>
      </c>
      <c r="G366" t="s">
        <v>1162</v>
      </c>
      <c r="H366" t="s">
        <v>1163</v>
      </c>
      <c r="I366" t="s">
        <v>82</v>
      </c>
      <c r="J366">
        <v>25414.799999999999</v>
      </c>
      <c r="K366">
        <v>283</v>
      </c>
      <c r="L366" t="s">
        <v>60</v>
      </c>
      <c r="M366" s="1">
        <v>44412</v>
      </c>
      <c r="N366" t="s">
        <v>52</v>
      </c>
      <c r="O366" t="s">
        <v>61</v>
      </c>
      <c r="P366">
        <v>26</v>
      </c>
      <c r="Q366" t="s">
        <v>31</v>
      </c>
      <c r="R366" t="s">
        <v>32</v>
      </c>
      <c r="S366">
        <v>7</v>
      </c>
      <c r="T366">
        <v>2021</v>
      </c>
      <c r="U366" t="s">
        <v>86</v>
      </c>
    </row>
    <row r="367" spans="1:21" x14ac:dyDescent="0.3">
      <c r="A367" t="s">
        <v>1164</v>
      </c>
      <c r="B367">
        <v>21</v>
      </c>
      <c r="C367" t="s">
        <v>22</v>
      </c>
      <c r="D367" t="s">
        <v>149</v>
      </c>
      <c r="E367" t="s">
        <v>24</v>
      </c>
      <c r="F367" s="1">
        <v>43993</v>
      </c>
      <c r="G367" t="s">
        <v>1165</v>
      </c>
      <c r="H367" t="s">
        <v>1166</v>
      </c>
      <c r="I367" t="s">
        <v>82</v>
      </c>
      <c r="J367">
        <v>36230.39</v>
      </c>
      <c r="K367">
        <v>404</v>
      </c>
      <c r="L367" t="s">
        <v>60</v>
      </c>
      <c r="M367" s="1">
        <v>44003</v>
      </c>
      <c r="N367" t="s">
        <v>29</v>
      </c>
      <c r="O367" t="s">
        <v>42</v>
      </c>
      <c r="P367">
        <v>10</v>
      </c>
      <c r="Q367" t="s">
        <v>31</v>
      </c>
      <c r="R367" t="s">
        <v>44</v>
      </c>
      <c r="S367">
        <v>6</v>
      </c>
      <c r="T367">
        <v>2020</v>
      </c>
      <c r="U367" t="s">
        <v>118</v>
      </c>
    </row>
    <row r="368" spans="1:21" x14ac:dyDescent="0.3">
      <c r="A368" t="s">
        <v>1167</v>
      </c>
      <c r="B368">
        <v>49</v>
      </c>
      <c r="C368" t="s">
        <v>22</v>
      </c>
      <c r="D368" t="s">
        <v>76</v>
      </c>
      <c r="E368" t="s">
        <v>70</v>
      </c>
      <c r="F368" s="1">
        <v>43942</v>
      </c>
      <c r="G368" t="s">
        <v>1168</v>
      </c>
      <c r="H368" t="s">
        <v>1169</v>
      </c>
      <c r="I368" t="s">
        <v>73</v>
      </c>
      <c r="J368">
        <v>22427.17</v>
      </c>
      <c r="K368">
        <v>197</v>
      </c>
      <c r="L368" t="s">
        <v>40</v>
      </c>
      <c r="M368" s="1">
        <v>43960</v>
      </c>
      <c r="N368" t="s">
        <v>99</v>
      </c>
      <c r="O368" t="s">
        <v>42</v>
      </c>
      <c r="P368">
        <v>18</v>
      </c>
      <c r="Q368" t="s">
        <v>68</v>
      </c>
      <c r="R368" t="s">
        <v>32</v>
      </c>
      <c r="S368">
        <v>4</v>
      </c>
      <c r="T368">
        <v>2020</v>
      </c>
      <c r="U368" t="s">
        <v>94</v>
      </c>
    </row>
    <row r="369" spans="1:21" x14ac:dyDescent="0.3">
      <c r="A369" t="s">
        <v>1170</v>
      </c>
      <c r="B369">
        <v>62</v>
      </c>
      <c r="C369" t="s">
        <v>47</v>
      </c>
      <c r="D369" t="s">
        <v>35</v>
      </c>
      <c r="E369" t="s">
        <v>36</v>
      </c>
      <c r="F369" s="1">
        <v>43744</v>
      </c>
      <c r="G369" t="s">
        <v>1171</v>
      </c>
      <c r="H369" t="s">
        <v>1172</v>
      </c>
      <c r="I369" t="s">
        <v>82</v>
      </c>
      <c r="J369">
        <v>39250.449999999997</v>
      </c>
      <c r="K369">
        <v>110</v>
      </c>
      <c r="L369" t="s">
        <v>28</v>
      </c>
      <c r="M369" s="1">
        <v>43773</v>
      </c>
      <c r="N369" t="s">
        <v>52</v>
      </c>
      <c r="O369" t="s">
        <v>30</v>
      </c>
      <c r="P369">
        <v>29</v>
      </c>
      <c r="Q369" t="s">
        <v>43</v>
      </c>
      <c r="R369" t="s">
        <v>44</v>
      </c>
      <c r="S369">
        <v>10</v>
      </c>
      <c r="T369">
        <v>2019</v>
      </c>
      <c r="U369" t="s">
        <v>110</v>
      </c>
    </row>
    <row r="370" spans="1:21" x14ac:dyDescent="0.3">
      <c r="A370" t="s">
        <v>1173</v>
      </c>
      <c r="B370">
        <v>54</v>
      </c>
      <c r="C370" t="s">
        <v>47</v>
      </c>
      <c r="D370" t="s">
        <v>149</v>
      </c>
      <c r="E370" t="s">
        <v>96</v>
      </c>
      <c r="F370" s="1">
        <v>44023</v>
      </c>
      <c r="G370" t="s">
        <v>1174</v>
      </c>
      <c r="H370" t="s">
        <v>1175</v>
      </c>
      <c r="I370" t="s">
        <v>73</v>
      </c>
      <c r="J370">
        <v>5226</v>
      </c>
      <c r="K370">
        <v>437</v>
      </c>
      <c r="L370" t="s">
        <v>28</v>
      </c>
      <c r="M370" s="1">
        <v>44043</v>
      </c>
      <c r="N370" t="s">
        <v>67</v>
      </c>
      <c r="O370" t="s">
        <v>30</v>
      </c>
      <c r="P370">
        <v>20</v>
      </c>
      <c r="Q370" t="s">
        <v>68</v>
      </c>
      <c r="R370" t="s">
        <v>100</v>
      </c>
      <c r="S370">
        <v>7</v>
      </c>
      <c r="T370">
        <v>2020</v>
      </c>
      <c r="U370" t="s">
        <v>86</v>
      </c>
    </row>
    <row r="371" spans="1:21" x14ac:dyDescent="0.3">
      <c r="A371" t="s">
        <v>1176</v>
      </c>
      <c r="B371">
        <v>22</v>
      </c>
      <c r="C371" t="s">
        <v>22</v>
      </c>
      <c r="D371" t="s">
        <v>76</v>
      </c>
      <c r="E371" t="s">
        <v>36</v>
      </c>
      <c r="F371" s="1">
        <v>44654</v>
      </c>
      <c r="G371" t="s">
        <v>1177</v>
      </c>
      <c r="H371" t="s">
        <v>1178</v>
      </c>
      <c r="I371" t="s">
        <v>82</v>
      </c>
      <c r="J371">
        <v>7732.67</v>
      </c>
      <c r="K371">
        <v>397</v>
      </c>
      <c r="L371" t="s">
        <v>60</v>
      </c>
      <c r="M371" s="1">
        <v>44668</v>
      </c>
      <c r="N371" t="s">
        <v>29</v>
      </c>
      <c r="O371" t="s">
        <v>61</v>
      </c>
      <c r="P371">
        <v>14</v>
      </c>
      <c r="Q371" t="s">
        <v>31</v>
      </c>
      <c r="R371" t="s">
        <v>100</v>
      </c>
      <c r="S371">
        <v>4</v>
      </c>
      <c r="T371">
        <v>2022</v>
      </c>
      <c r="U371" t="s">
        <v>94</v>
      </c>
    </row>
    <row r="372" spans="1:21" x14ac:dyDescent="0.3">
      <c r="A372" t="s">
        <v>1179</v>
      </c>
      <c r="B372">
        <v>74</v>
      </c>
      <c r="C372" t="s">
        <v>22</v>
      </c>
      <c r="D372" t="s">
        <v>48</v>
      </c>
      <c r="E372" t="s">
        <v>96</v>
      </c>
      <c r="F372" s="1">
        <v>43851</v>
      </c>
      <c r="G372" t="s">
        <v>1180</v>
      </c>
      <c r="H372" t="s">
        <v>1181</v>
      </c>
      <c r="I372" t="s">
        <v>39</v>
      </c>
      <c r="J372">
        <v>11304</v>
      </c>
      <c r="K372">
        <v>419</v>
      </c>
      <c r="L372" t="s">
        <v>28</v>
      </c>
      <c r="M372" s="1">
        <v>43859</v>
      </c>
      <c r="N372" t="s">
        <v>52</v>
      </c>
      <c r="O372" t="s">
        <v>61</v>
      </c>
      <c r="P372">
        <v>8</v>
      </c>
      <c r="Q372" t="s">
        <v>53</v>
      </c>
      <c r="R372" t="s">
        <v>32</v>
      </c>
      <c r="S372">
        <v>1</v>
      </c>
      <c r="T372">
        <v>2020</v>
      </c>
      <c r="U372" t="s">
        <v>33</v>
      </c>
    </row>
    <row r="373" spans="1:21" x14ac:dyDescent="0.3">
      <c r="A373" t="s">
        <v>1182</v>
      </c>
      <c r="B373">
        <v>35</v>
      </c>
      <c r="C373" t="s">
        <v>47</v>
      </c>
      <c r="D373" t="s">
        <v>35</v>
      </c>
      <c r="E373" t="s">
        <v>70</v>
      </c>
      <c r="F373" s="1">
        <v>44911</v>
      </c>
      <c r="G373" t="s">
        <v>1183</v>
      </c>
      <c r="H373" t="s">
        <v>1184</v>
      </c>
      <c r="I373" t="s">
        <v>73</v>
      </c>
      <c r="J373">
        <v>38403.58</v>
      </c>
      <c r="K373">
        <v>476</v>
      </c>
      <c r="L373" t="s">
        <v>60</v>
      </c>
      <c r="M373" s="1">
        <v>44934</v>
      </c>
      <c r="N373" t="s">
        <v>99</v>
      </c>
      <c r="O373" t="s">
        <v>61</v>
      </c>
      <c r="P373">
        <v>23</v>
      </c>
      <c r="Q373" t="s">
        <v>31</v>
      </c>
      <c r="R373" t="s">
        <v>44</v>
      </c>
      <c r="S373">
        <v>12</v>
      </c>
      <c r="T373">
        <v>2022</v>
      </c>
      <c r="U373" t="s">
        <v>74</v>
      </c>
    </row>
    <row r="374" spans="1:21" x14ac:dyDescent="0.3">
      <c r="A374" t="s">
        <v>1185</v>
      </c>
      <c r="B374">
        <v>20</v>
      </c>
      <c r="C374" t="s">
        <v>22</v>
      </c>
      <c r="D374" t="s">
        <v>23</v>
      </c>
      <c r="E374" t="s">
        <v>70</v>
      </c>
      <c r="F374" s="1">
        <v>44762</v>
      </c>
      <c r="G374" t="s">
        <v>1186</v>
      </c>
      <c r="H374" t="s">
        <v>1187</v>
      </c>
      <c r="I374" t="s">
        <v>73</v>
      </c>
      <c r="J374">
        <v>14039.89</v>
      </c>
      <c r="K374">
        <v>416</v>
      </c>
      <c r="L374" t="s">
        <v>40</v>
      </c>
      <c r="M374" s="1">
        <v>44771</v>
      </c>
      <c r="N374" t="s">
        <v>41</v>
      </c>
      <c r="O374" t="s">
        <v>42</v>
      </c>
      <c r="P374">
        <v>9</v>
      </c>
      <c r="Q374" t="s">
        <v>31</v>
      </c>
      <c r="R374" t="s">
        <v>32</v>
      </c>
      <c r="S374">
        <v>7</v>
      </c>
      <c r="T374">
        <v>2022</v>
      </c>
      <c r="U374" t="s">
        <v>86</v>
      </c>
    </row>
    <row r="375" spans="1:21" x14ac:dyDescent="0.3">
      <c r="A375" t="s">
        <v>1188</v>
      </c>
      <c r="B375">
        <v>18</v>
      </c>
      <c r="C375" t="s">
        <v>47</v>
      </c>
      <c r="D375" t="s">
        <v>23</v>
      </c>
      <c r="E375" t="s">
        <v>24</v>
      </c>
      <c r="F375" s="1">
        <v>44402</v>
      </c>
      <c r="G375" t="s">
        <v>1189</v>
      </c>
      <c r="H375" t="s">
        <v>1190</v>
      </c>
      <c r="I375" t="s">
        <v>73</v>
      </c>
      <c r="J375">
        <v>6958.7</v>
      </c>
      <c r="K375">
        <v>493</v>
      </c>
      <c r="L375" t="s">
        <v>60</v>
      </c>
      <c r="M375" s="1">
        <v>44405</v>
      </c>
      <c r="N375" t="s">
        <v>29</v>
      </c>
      <c r="O375" t="s">
        <v>61</v>
      </c>
      <c r="P375">
        <v>3</v>
      </c>
      <c r="Q375" t="s">
        <v>31</v>
      </c>
      <c r="R375" t="s">
        <v>100</v>
      </c>
      <c r="S375">
        <v>7</v>
      </c>
      <c r="T375">
        <v>2021</v>
      </c>
      <c r="U375" t="s">
        <v>86</v>
      </c>
    </row>
    <row r="376" spans="1:21" x14ac:dyDescent="0.3">
      <c r="A376" t="s">
        <v>1191</v>
      </c>
      <c r="B376">
        <v>55</v>
      </c>
      <c r="C376" t="s">
        <v>47</v>
      </c>
      <c r="D376" t="s">
        <v>56</v>
      </c>
      <c r="E376" t="s">
        <v>24</v>
      </c>
      <c r="F376" s="1">
        <v>45126</v>
      </c>
      <c r="G376" t="s">
        <v>1192</v>
      </c>
      <c r="H376" t="s">
        <v>1193</v>
      </c>
      <c r="I376" t="s">
        <v>39</v>
      </c>
      <c r="J376">
        <v>3254.03</v>
      </c>
      <c r="K376">
        <v>404</v>
      </c>
      <c r="L376" t="s">
        <v>28</v>
      </c>
      <c r="M376" s="1">
        <v>45140</v>
      </c>
      <c r="N376" t="s">
        <v>99</v>
      </c>
      <c r="O376" t="s">
        <v>30</v>
      </c>
      <c r="P376">
        <v>14</v>
      </c>
      <c r="Q376" t="s">
        <v>68</v>
      </c>
      <c r="R376" t="s">
        <v>100</v>
      </c>
      <c r="S376">
        <v>7</v>
      </c>
      <c r="T376">
        <v>2023</v>
      </c>
      <c r="U376" t="s">
        <v>86</v>
      </c>
    </row>
    <row r="377" spans="1:21" x14ac:dyDescent="0.3">
      <c r="A377" t="s">
        <v>1194</v>
      </c>
      <c r="B377">
        <v>66</v>
      </c>
      <c r="C377" t="s">
        <v>22</v>
      </c>
      <c r="D377" t="s">
        <v>23</v>
      </c>
      <c r="E377" t="s">
        <v>57</v>
      </c>
      <c r="F377" s="1">
        <v>45068</v>
      </c>
      <c r="G377" t="s">
        <v>1195</v>
      </c>
      <c r="H377" t="s">
        <v>1196</v>
      </c>
      <c r="I377" t="s">
        <v>51</v>
      </c>
      <c r="J377">
        <v>11855.95</v>
      </c>
      <c r="K377">
        <v>123</v>
      </c>
      <c r="L377" t="s">
        <v>28</v>
      </c>
      <c r="M377" s="1">
        <v>45085</v>
      </c>
      <c r="N377" t="s">
        <v>41</v>
      </c>
      <c r="O377" t="s">
        <v>42</v>
      </c>
      <c r="P377">
        <v>17</v>
      </c>
      <c r="Q377" t="s">
        <v>43</v>
      </c>
      <c r="R377" t="s">
        <v>32</v>
      </c>
      <c r="S377">
        <v>5</v>
      </c>
      <c r="T377">
        <v>2023</v>
      </c>
      <c r="U377" t="s">
        <v>90</v>
      </c>
    </row>
    <row r="378" spans="1:21" x14ac:dyDescent="0.3">
      <c r="A378" t="s">
        <v>1197</v>
      </c>
      <c r="B378">
        <v>62</v>
      </c>
      <c r="C378" t="s">
        <v>47</v>
      </c>
      <c r="D378" t="s">
        <v>149</v>
      </c>
      <c r="E378" t="s">
        <v>96</v>
      </c>
      <c r="F378" s="1">
        <v>44020</v>
      </c>
      <c r="G378" t="s">
        <v>1198</v>
      </c>
      <c r="H378" t="s">
        <v>1199</v>
      </c>
      <c r="I378" t="s">
        <v>27</v>
      </c>
      <c r="J378">
        <v>22368.38</v>
      </c>
      <c r="K378">
        <v>461</v>
      </c>
      <c r="L378" t="s">
        <v>40</v>
      </c>
      <c r="M378" s="1">
        <v>44037</v>
      </c>
      <c r="N378" t="s">
        <v>41</v>
      </c>
      <c r="O378" t="s">
        <v>42</v>
      </c>
      <c r="P378">
        <v>17</v>
      </c>
      <c r="Q378" t="s">
        <v>43</v>
      </c>
      <c r="R378" t="s">
        <v>32</v>
      </c>
      <c r="S378">
        <v>7</v>
      </c>
      <c r="T378">
        <v>2020</v>
      </c>
      <c r="U378" t="s">
        <v>86</v>
      </c>
    </row>
    <row r="379" spans="1:21" x14ac:dyDescent="0.3">
      <c r="A379" t="s">
        <v>1200</v>
      </c>
      <c r="B379">
        <v>43</v>
      </c>
      <c r="C379" t="s">
        <v>47</v>
      </c>
      <c r="D379" t="s">
        <v>48</v>
      </c>
      <c r="E379" t="s">
        <v>70</v>
      </c>
      <c r="F379" s="1">
        <v>44922</v>
      </c>
      <c r="G379" t="s">
        <v>1201</v>
      </c>
      <c r="H379" t="s">
        <v>1202</v>
      </c>
      <c r="I379" t="s">
        <v>39</v>
      </c>
      <c r="J379">
        <v>48511.65</v>
      </c>
      <c r="K379">
        <v>172</v>
      </c>
      <c r="L379" t="s">
        <v>28</v>
      </c>
      <c r="M379" s="1">
        <v>44950</v>
      </c>
      <c r="N379" t="s">
        <v>99</v>
      </c>
      <c r="O379" t="s">
        <v>42</v>
      </c>
      <c r="P379">
        <v>28</v>
      </c>
      <c r="Q379" t="s">
        <v>68</v>
      </c>
      <c r="R379" t="s">
        <v>44</v>
      </c>
      <c r="S379">
        <v>12</v>
      </c>
      <c r="T379">
        <v>2022</v>
      </c>
      <c r="U379" t="s">
        <v>74</v>
      </c>
    </row>
    <row r="380" spans="1:21" x14ac:dyDescent="0.3">
      <c r="A380" t="s">
        <v>1203</v>
      </c>
      <c r="B380">
        <v>24</v>
      </c>
      <c r="C380" t="s">
        <v>47</v>
      </c>
      <c r="D380" t="s">
        <v>23</v>
      </c>
      <c r="E380" t="s">
        <v>57</v>
      </c>
      <c r="F380" s="1">
        <v>43637</v>
      </c>
      <c r="G380" t="s">
        <v>1204</v>
      </c>
      <c r="H380" t="s">
        <v>1205</v>
      </c>
      <c r="I380" t="s">
        <v>51</v>
      </c>
      <c r="J380">
        <v>10126.5</v>
      </c>
      <c r="K380">
        <v>242</v>
      </c>
      <c r="L380" t="s">
        <v>28</v>
      </c>
      <c r="M380" s="1">
        <v>43658</v>
      </c>
      <c r="N380" t="s">
        <v>41</v>
      </c>
      <c r="O380" t="s">
        <v>61</v>
      </c>
      <c r="P380">
        <v>21</v>
      </c>
      <c r="Q380" t="s">
        <v>31</v>
      </c>
      <c r="R380" t="s">
        <v>32</v>
      </c>
      <c r="S380">
        <v>6</v>
      </c>
      <c r="T380">
        <v>2019</v>
      </c>
      <c r="U380" t="s">
        <v>118</v>
      </c>
    </row>
    <row r="381" spans="1:21" x14ac:dyDescent="0.3">
      <c r="A381" t="s">
        <v>1206</v>
      </c>
      <c r="B381">
        <v>46</v>
      </c>
      <c r="C381" t="s">
        <v>47</v>
      </c>
      <c r="D381" t="s">
        <v>56</v>
      </c>
      <c r="E381" t="s">
        <v>57</v>
      </c>
      <c r="F381" s="1">
        <v>44197</v>
      </c>
      <c r="G381" t="s">
        <v>1207</v>
      </c>
      <c r="H381" t="s">
        <v>1208</v>
      </c>
      <c r="I381" t="s">
        <v>73</v>
      </c>
      <c r="J381">
        <v>8470.64</v>
      </c>
      <c r="K381">
        <v>328</v>
      </c>
      <c r="L381" t="s">
        <v>60</v>
      </c>
      <c r="M381" s="1">
        <v>44223</v>
      </c>
      <c r="N381" t="s">
        <v>67</v>
      </c>
      <c r="O381" t="s">
        <v>42</v>
      </c>
      <c r="P381">
        <v>26</v>
      </c>
      <c r="Q381" t="s">
        <v>68</v>
      </c>
      <c r="R381" t="s">
        <v>100</v>
      </c>
      <c r="S381">
        <v>1</v>
      </c>
      <c r="T381">
        <v>2021</v>
      </c>
      <c r="U381" t="s">
        <v>33</v>
      </c>
    </row>
    <row r="382" spans="1:21" x14ac:dyDescent="0.3">
      <c r="A382" t="s">
        <v>1209</v>
      </c>
      <c r="B382">
        <v>58</v>
      </c>
      <c r="C382" t="s">
        <v>22</v>
      </c>
      <c r="D382" t="s">
        <v>76</v>
      </c>
      <c r="E382" t="s">
        <v>70</v>
      </c>
      <c r="F382" s="1">
        <v>44811</v>
      </c>
      <c r="G382" t="s">
        <v>1210</v>
      </c>
      <c r="H382" t="s">
        <v>1211</v>
      </c>
      <c r="I382" t="s">
        <v>39</v>
      </c>
      <c r="J382">
        <v>25086.01</v>
      </c>
      <c r="K382">
        <v>476</v>
      </c>
      <c r="L382" t="s">
        <v>28</v>
      </c>
      <c r="M382" s="1">
        <v>44832</v>
      </c>
      <c r="N382" t="s">
        <v>99</v>
      </c>
      <c r="O382" t="s">
        <v>42</v>
      </c>
      <c r="P382">
        <v>21</v>
      </c>
      <c r="Q382" t="s">
        <v>43</v>
      </c>
      <c r="R382" t="s">
        <v>32</v>
      </c>
      <c r="S382">
        <v>9</v>
      </c>
      <c r="T382">
        <v>2022</v>
      </c>
      <c r="U382" t="s">
        <v>54</v>
      </c>
    </row>
    <row r="383" spans="1:21" x14ac:dyDescent="0.3">
      <c r="A383" t="s">
        <v>1212</v>
      </c>
      <c r="B383">
        <v>58</v>
      </c>
      <c r="C383" t="s">
        <v>22</v>
      </c>
      <c r="D383" t="s">
        <v>127</v>
      </c>
      <c r="E383" t="s">
        <v>36</v>
      </c>
      <c r="F383" s="1">
        <v>44721</v>
      </c>
      <c r="G383" t="s">
        <v>1213</v>
      </c>
      <c r="H383" t="s">
        <v>1214</v>
      </c>
      <c r="I383" t="s">
        <v>82</v>
      </c>
      <c r="J383">
        <v>36524.379999999997</v>
      </c>
      <c r="K383">
        <v>371</v>
      </c>
      <c r="L383" t="s">
        <v>28</v>
      </c>
      <c r="M383" s="1">
        <v>44738</v>
      </c>
      <c r="N383" t="s">
        <v>41</v>
      </c>
      <c r="O383" t="s">
        <v>61</v>
      </c>
      <c r="P383">
        <v>17</v>
      </c>
      <c r="Q383" t="s">
        <v>43</v>
      </c>
      <c r="R383" t="s">
        <v>44</v>
      </c>
      <c r="S383">
        <v>6</v>
      </c>
      <c r="T383">
        <v>2022</v>
      </c>
      <c r="U383" t="s">
        <v>118</v>
      </c>
    </row>
    <row r="384" spans="1:21" x14ac:dyDescent="0.3">
      <c r="A384" t="s">
        <v>1215</v>
      </c>
      <c r="B384">
        <v>48</v>
      </c>
      <c r="C384" t="s">
        <v>22</v>
      </c>
      <c r="D384" t="s">
        <v>127</v>
      </c>
      <c r="E384" t="s">
        <v>24</v>
      </c>
      <c r="F384" s="1">
        <v>45231</v>
      </c>
      <c r="G384" t="s">
        <v>1216</v>
      </c>
      <c r="H384" t="s">
        <v>1217</v>
      </c>
      <c r="I384" t="s">
        <v>73</v>
      </c>
      <c r="J384">
        <v>5945.01</v>
      </c>
      <c r="K384">
        <v>431</v>
      </c>
      <c r="L384" t="s">
        <v>60</v>
      </c>
      <c r="M384" s="1">
        <v>45240</v>
      </c>
      <c r="N384" t="s">
        <v>29</v>
      </c>
      <c r="O384" t="s">
        <v>42</v>
      </c>
      <c r="P384">
        <v>9</v>
      </c>
      <c r="Q384" t="s">
        <v>68</v>
      </c>
      <c r="R384" t="s">
        <v>100</v>
      </c>
      <c r="S384">
        <v>11</v>
      </c>
      <c r="T384">
        <v>2023</v>
      </c>
      <c r="U384" t="s">
        <v>62</v>
      </c>
    </row>
    <row r="385" spans="1:21" x14ac:dyDescent="0.3">
      <c r="A385" t="s">
        <v>1218</v>
      </c>
      <c r="B385">
        <v>43</v>
      </c>
      <c r="C385" t="s">
        <v>22</v>
      </c>
      <c r="D385" t="s">
        <v>149</v>
      </c>
      <c r="E385" t="s">
        <v>36</v>
      </c>
      <c r="F385" s="1">
        <v>45144</v>
      </c>
      <c r="G385" t="s">
        <v>1219</v>
      </c>
      <c r="H385" t="s">
        <v>1220</v>
      </c>
      <c r="I385" t="s">
        <v>27</v>
      </c>
      <c r="J385">
        <v>3601.68</v>
      </c>
      <c r="K385">
        <v>409</v>
      </c>
      <c r="L385" t="s">
        <v>28</v>
      </c>
      <c r="M385" s="1">
        <v>45151</v>
      </c>
      <c r="N385" t="s">
        <v>99</v>
      </c>
      <c r="O385" t="s">
        <v>42</v>
      </c>
      <c r="P385">
        <v>7</v>
      </c>
      <c r="Q385" t="s">
        <v>68</v>
      </c>
      <c r="R385" t="s">
        <v>100</v>
      </c>
      <c r="S385">
        <v>8</v>
      </c>
      <c r="T385">
        <v>2023</v>
      </c>
      <c r="U385" t="s">
        <v>45</v>
      </c>
    </row>
    <row r="386" spans="1:21" x14ac:dyDescent="0.3">
      <c r="A386" t="s">
        <v>1221</v>
      </c>
      <c r="B386">
        <v>74</v>
      </c>
      <c r="C386" t="s">
        <v>47</v>
      </c>
      <c r="D386" t="s">
        <v>64</v>
      </c>
      <c r="E386" t="s">
        <v>36</v>
      </c>
      <c r="F386" s="1">
        <v>44772</v>
      </c>
      <c r="G386" t="s">
        <v>1222</v>
      </c>
      <c r="H386" t="s">
        <v>1223</v>
      </c>
      <c r="I386" t="s">
        <v>82</v>
      </c>
      <c r="J386">
        <v>4920.1899999999996</v>
      </c>
      <c r="K386">
        <v>135</v>
      </c>
      <c r="L386" t="s">
        <v>60</v>
      </c>
      <c r="M386" s="1">
        <v>44798</v>
      </c>
      <c r="N386" t="s">
        <v>52</v>
      </c>
      <c r="O386" t="s">
        <v>61</v>
      </c>
      <c r="P386">
        <v>26</v>
      </c>
      <c r="Q386" t="s">
        <v>53</v>
      </c>
      <c r="R386" t="s">
        <v>100</v>
      </c>
      <c r="S386">
        <v>7</v>
      </c>
      <c r="T386">
        <v>2022</v>
      </c>
      <c r="U386" t="s">
        <v>86</v>
      </c>
    </row>
    <row r="387" spans="1:21" x14ac:dyDescent="0.3">
      <c r="A387" t="s">
        <v>1224</v>
      </c>
      <c r="B387">
        <v>47</v>
      </c>
      <c r="C387" t="s">
        <v>47</v>
      </c>
      <c r="D387" t="s">
        <v>76</v>
      </c>
      <c r="E387" t="s">
        <v>57</v>
      </c>
      <c r="F387" s="1">
        <v>44231</v>
      </c>
      <c r="G387" t="s">
        <v>1225</v>
      </c>
      <c r="H387" t="s">
        <v>1226</v>
      </c>
      <c r="I387" t="s">
        <v>73</v>
      </c>
      <c r="J387">
        <v>48887.23</v>
      </c>
      <c r="K387">
        <v>105</v>
      </c>
      <c r="L387" t="s">
        <v>60</v>
      </c>
      <c r="M387" s="1">
        <v>44255</v>
      </c>
      <c r="N387" t="s">
        <v>41</v>
      </c>
      <c r="O387" t="s">
        <v>42</v>
      </c>
      <c r="P387">
        <v>24</v>
      </c>
      <c r="Q387" t="s">
        <v>68</v>
      </c>
      <c r="R387" t="s">
        <v>44</v>
      </c>
      <c r="S387">
        <v>2</v>
      </c>
      <c r="T387">
        <v>2021</v>
      </c>
      <c r="U387" t="s">
        <v>278</v>
      </c>
    </row>
    <row r="388" spans="1:21" x14ac:dyDescent="0.3">
      <c r="A388" t="s">
        <v>1227</v>
      </c>
      <c r="B388">
        <v>35</v>
      </c>
      <c r="C388" t="s">
        <v>22</v>
      </c>
      <c r="D388" t="s">
        <v>35</v>
      </c>
      <c r="E388" t="s">
        <v>24</v>
      </c>
      <c r="F388" s="1">
        <v>44526</v>
      </c>
      <c r="G388" t="s">
        <v>1228</v>
      </c>
      <c r="H388" t="s">
        <v>1229</v>
      </c>
      <c r="I388" t="s">
        <v>27</v>
      </c>
      <c r="J388">
        <v>48826.39</v>
      </c>
      <c r="K388">
        <v>142</v>
      </c>
      <c r="L388" t="s">
        <v>28</v>
      </c>
      <c r="M388" s="1">
        <v>44539</v>
      </c>
      <c r="N388" t="s">
        <v>29</v>
      </c>
      <c r="O388" t="s">
        <v>30</v>
      </c>
      <c r="P388">
        <v>13</v>
      </c>
      <c r="Q388" t="s">
        <v>31</v>
      </c>
      <c r="R388" t="s">
        <v>44</v>
      </c>
      <c r="S388">
        <v>11</v>
      </c>
      <c r="T388">
        <v>2021</v>
      </c>
      <c r="U388" t="s">
        <v>62</v>
      </c>
    </row>
    <row r="389" spans="1:21" x14ac:dyDescent="0.3">
      <c r="A389" t="s">
        <v>1230</v>
      </c>
      <c r="B389">
        <v>28</v>
      </c>
      <c r="C389" t="s">
        <v>22</v>
      </c>
      <c r="D389" t="s">
        <v>23</v>
      </c>
      <c r="E389" t="s">
        <v>115</v>
      </c>
      <c r="F389" s="1">
        <v>44014</v>
      </c>
      <c r="G389" t="s">
        <v>1231</v>
      </c>
      <c r="H389" t="s">
        <v>1232</v>
      </c>
      <c r="I389" t="s">
        <v>73</v>
      </c>
      <c r="J389">
        <v>5509.6</v>
      </c>
      <c r="K389">
        <v>313</v>
      </c>
      <c r="L389" t="s">
        <v>40</v>
      </c>
      <c r="M389" s="1">
        <v>44015</v>
      </c>
      <c r="N389" t="s">
        <v>99</v>
      </c>
      <c r="O389" t="s">
        <v>61</v>
      </c>
      <c r="P389">
        <v>1</v>
      </c>
      <c r="Q389" t="s">
        <v>31</v>
      </c>
      <c r="R389" t="s">
        <v>100</v>
      </c>
      <c r="S389">
        <v>7</v>
      </c>
      <c r="T389">
        <v>2020</v>
      </c>
      <c r="U389" t="s">
        <v>86</v>
      </c>
    </row>
    <row r="390" spans="1:21" x14ac:dyDescent="0.3">
      <c r="A390" t="s">
        <v>1233</v>
      </c>
      <c r="B390">
        <v>49</v>
      </c>
      <c r="C390" t="s">
        <v>22</v>
      </c>
      <c r="D390" t="s">
        <v>48</v>
      </c>
      <c r="E390" t="s">
        <v>57</v>
      </c>
      <c r="F390" s="1">
        <v>44417</v>
      </c>
      <c r="G390" t="s">
        <v>1234</v>
      </c>
      <c r="H390" t="s">
        <v>1235</v>
      </c>
      <c r="I390" t="s">
        <v>39</v>
      </c>
      <c r="J390">
        <v>37636.44</v>
      </c>
      <c r="K390">
        <v>385</v>
      </c>
      <c r="L390" t="s">
        <v>60</v>
      </c>
      <c r="M390" s="1">
        <v>44445</v>
      </c>
      <c r="N390" t="s">
        <v>41</v>
      </c>
      <c r="O390" t="s">
        <v>30</v>
      </c>
      <c r="P390">
        <v>28</v>
      </c>
      <c r="Q390" t="s">
        <v>68</v>
      </c>
      <c r="R390" t="s">
        <v>44</v>
      </c>
      <c r="S390">
        <v>8</v>
      </c>
      <c r="T390">
        <v>2021</v>
      </c>
      <c r="U390" t="s">
        <v>45</v>
      </c>
    </row>
    <row r="391" spans="1:21" x14ac:dyDescent="0.3">
      <c r="A391" t="s">
        <v>1236</v>
      </c>
      <c r="B391">
        <v>28</v>
      </c>
      <c r="C391" t="s">
        <v>22</v>
      </c>
      <c r="D391" t="s">
        <v>76</v>
      </c>
      <c r="E391" t="s">
        <v>36</v>
      </c>
      <c r="F391" s="1">
        <v>45309</v>
      </c>
      <c r="G391" t="s">
        <v>1237</v>
      </c>
      <c r="H391" t="s">
        <v>1238</v>
      </c>
      <c r="I391" t="s">
        <v>82</v>
      </c>
      <c r="J391">
        <v>20885.919999999998</v>
      </c>
      <c r="K391">
        <v>247</v>
      </c>
      <c r="L391" t="s">
        <v>40</v>
      </c>
      <c r="M391" s="1">
        <v>45326</v>
      </c>
      <c r="N391" t="s">
        <v>41</v>
      </c>
      <c r="O391" t="s">
        <v>42</v>
      </c>
      <c r="P391">
        <v>17</v>
      </c>
      <c r="Q391" t="s">
        <v>31</v>
      </c>
      <c r="R391" t="s">
        <v>32</v>
      </c>
      <c r="S391">
        <v>1</v>
      </c>
      <c r="T391">
        <v>2024</v>
      </c>
      <c r="U391" t="s">
        <v>33</v>
      </c>
    </row>
    <row r="392" spans="1:21" x14ac:dyDescent="0.3">
      <c r="A392" t="s">
        <v>1239</v>
      </c>
      <c r="B392">
        <v>50</v>
      </c>
      <c r="C392" t="s">
        <v>22</v>
      </c>
      <c r="D392" t="s">
        <v>149</v>
      </c>
      <c r="E392" t="s">
        <v>36</v>
      </c>
      <c r="F392" s="1">
        <v>44943</v>
      </c>
      <c r="G392" t="s">
        <v>1240</v>
      </c>
      <c r="H392" t="s">
        <v>1241</v>
      </c>
      <c r="I392" t="s">
        <v>51</v>
      </c>
      <c r="J392">
        <v>35114.49</v>
      </c>
      <c r="K392">
        <v>183</v>
      </c>
      <c r="L392" t="s">
        <v>60</v>
      </c>
      <c r="M392" s="1">
        <v>44967</v>
      </c>
      <c r="N392" t="s">
        <v>29</v>
      </c>
      <c r="O392" t="s">
        <v>30</v>
      </c>
      <c r="P392">
        <v>24</v>
      </c>
      <c r="Q392" t="s">
        <v>68</v>
      </c>
      <c r="R392" t="s">
        <v>44</v>
      </c>
      <c r="S392">
        <v>1</v>
      </c>
      <c r="T392">
        <v>2023</v>
      </c>
      <c r="U392" t="s">
        <v>33</v>
      </c>
    </row>
    <row r="393" spans="1:21" x14ac:dyDescent="0.3">
      <c r="A393" t="s">
        <v>1242</v>
      </c>
      <c r="B393">
        <v>59</v>
      </c>
      <c r="C393" t="s">
        <v>22</v>
      </c>
      <c r="D393" t="s">
        <v>48</v>
      </c>
      <c r="E393" t="s">
        <v>36</v>
      </c>
      <c r="F393" s="1">
        <v>45378</v>
      </c>
      <c r="G393" t="s">
        <v>1243</v>
      </c>
      <c r="H393" t="s">
        <v>1244</v>
      </c>
      <c r="I393" t="s">
        <v>27</v>
      </c>
      <c r="J393">
        <v>6191.39</v>
      </c>
      <c r="K393">
        <v>192</v>
      </c>
      <c r="L393" t="s">
        <v>60</v>
      </c>
      <c r="M393" s="1">
        <v>45403</v>
      </c>
      <c r="N393" t="s">
        <v>99</v>
      </c>
      <c r="O393" t="s">
        <v>30</v>
      </c>
      <c r="P393">
        <v>25</v>
      </c>
      <c r="Q393" t="s">
        <v>43</v>
      </c>
      <c r="R393" t="s">
        <v>100</v>
      </c>
      <c r="S393">
        <v>3</v>
      </c>
      <c r="T393">
        <v>2024</v>
      </c>
      <c r="U393" t="s">
        <v>122</v>
      </c>
    </row>
    <row r="394" spans="1:21" x14ac:dyDescent="0.3">
      <c r="A394" t="s">
        <v>1245</v>
      </c>
      <c r="B394">
        <v>22</v>
      </c>
      <c r="C394" t="s">
        <v>47</v>
      </c>
      <c r="D394" t="s">
        <v>56</v>
      </c>
      <c r="E394" t="s">
        <v>96</v>
      </c>
      <c r="F394" s="1">
        <v>44936</v>
      </c>
      <c r="G394" t="s">
        <v>1246</v>
      </c>
      <c r="H394" t="s">
        <v>1247</v>
      </c>
      <c r="I394" t="s">
        <v>27</v>
      </c>
      <c r="J394">
        <v>40697.97</v>
      </c>
      <c r="K394">
        <v>116</v>
      </c>
      <c r="L394" t="s">
        <v>60</v>
      </c>
      <c r="M394" s="1">
        <v>44949</v>
      </c>
      <c r="N394" t="s">
        <v>41</v>
      </c>
      <c r="O394" t="s">
        <v>30</v>
      </c>
      <c r="P394">
        <v>13</v>
      </c>
      <c r="Q394" t="s">
        <v>31</v>
      </c>
      <c r="R394" t="s">
        <v>44</v>
      </c>
      <c r="S394">
        <v>1</v>
      </c>
      <c r="T394">
        <v>2023</v>
      </c>
      <c r="U394" t="s">
        <v>33</v>
      </c>
    </row>
    <row r="395" spans="1:21" x14ac:dyDescent="0.3">
      <c r="A395" t="s">
        <v>1248</v>
      </c>
      <c r="B395">
        <v>62</v>
      </c>
      <c r="C395" t="s">
        <v>47</v>
      </c>
      <c r="D395" t="s">
        <v>127</v>
      </c>
      <c r="E395" t="s">
        <v>115</v>
      </c>
      <c r="F395" s="1">
        <v>43660</v>
      </c>
      <c r="G395" t="s">
        <v>1249</v>
      </c>
      <c r="H395" t="s">
        <v>1250</v>
      </c>
      <c r="I395" t="s">
        <v>51</v>
      </c>
      <c r="J395">
        <v>43465.95</v>
      </c>
      <c r="K395">
        <v>325</v>
      </c>
      <c r="L395" t="s">
        <v>28</v>
      </c>
      <c r="M395" s="1">
        <v>43664</v>
      </c>
      <c r="N395" t="s">
        <v>99</v>
      </c>
      <c r="O395" t="s">
        <v>30</v>
      </c>
      <c r="P395">
        <v>4</v>
      </c>
      <c r="Q395" t="s">
        <v>43</v>
      </c>
      <c r="R395" t="s">
        <v>44</v>
      </c>
      <c r="S395">
        <v>7</v>
      </c>
      <c r="T395">
        <v>2019</v>
      </c>
      <c r="U395" t="s">
        <v>86</v>
      </c>
    </row>
    <row r="396" spans="1:21" x14ac:dyDescent="0.3">
      <c r="A396" t="s">
        <v>1251</v>
      </c>
      <c r="B396">
        <v>21</v>
      </c>
      <c r="C396" t="s">
        <v>47</v>
      </c>
      <c r="D396" t="s">
        <v>35</v>
      </c>
      <c r="E396" t="s">
        <v>24</v>
      </c>
      <c r="F396" s="1">
        <v>43969</v>
      </c>
      <c r="G396" t="s">
        <v>1252</v>
      </c>
      <c r="H396" t="s">
        <v>1253</v>
      </c>
      <c r="I396" t="s">
        <v>82</v>
      </c>
      <c r="J396">
        <v>16866.07</v>
      </c>
      <c r="K396">
        <v>177</v>
      </c>
      <c r="L396" t="s">
        <v>60</v>
      </c>
      <c r="M396" s="1">
        <v>43984</v>
      </c>
      <c r="N396" t="s">
        <v>41</v>
      </c>
      <c r="O396" t="s">
        <v>30</v>
      </c>
      <c r="P396">
        <v>15</v>
      </c>
      <c r="Q396" t="s">
        <v>31</v>
      </c>
      <c r="R396" t="s">
        <v>32</v>
      </c>
      <c r="S396">
        <v>5</v>
      </c>
      <c r="T396">
        <v>2020</v>
      </c>
      <c r="U396" t="s">
        <v>90</v>
      </c>
    </row>
    <row r="397" spans="1:21" x14ac:dyDescent="0.3">
      <c r="A397" t="s">
        <v>1254</v>
      </c>
      <c r="B397">
        <v>44</v>
      </c>
      <c r="C397" t="s">
        <v>22</v>
      </c>
      <c r="D397" t="s">
        <v>23</v>
      </c>
      <c r="E397" t="s">
        <v>36</v>
      </c>
      <c r="F397" s="1">
        <v>44727</v>
      </c>
      <c r="G397" t="s">
        <v>1255</v>
      </c>
      <c r="H397" t="s">
        <v>1256</v>
      </c>
      <c r="I397" t="s">
        <v>51</v>
      </c>
      <c r="J397">
        <v>41454.69</v>
      </c>
      <c r="K397">
        <v>328</v>
      </c>
      <c r="L397" t="s">
        <v>40</v>
      </c>
      <c r="M397" s="1">
        <v>44737</v>
      </c>
      <c r="N397" t="s">
        <v>41</v>
      </c>
      <c r="O397" t="s">
        <v>42</v>
      </c>
      <c r="P397">
        <v>10</v>
      </c>
      <c r="Q397" t="s">
        <v>68</v>
      </c>
      <c r="R397" t="s">
        <v>44</v>
      </c>
      <c r="S397">
        <v>6</v>
      </c>
      <c r="T397">
        <v>2022</v>
      </c>
      <c r="U397" t="s">
        <v>118</v>
      </c>
    </row>
    <row r="398" spans="1:21" x14ac:dyDescent="0.3">
      <c r="A398" t="s">
        <v>1257</v>
      </c>
      <c r="B398">
        <v>27</v>
      </c>
      <c r="C398" t="s">
        <v>22</v>
      </c>
      <c r="D398" t="s">
        <v>127</v>
      </c>
      <c r="E398" t="s">
        <v>96</v>
      </c>
      <c r="F398" s="1">
        <v>43917</v>
      </c>
      <c r="G398" t="s">
        <v>1258</v>
      </c>
      <c r="H398" t="s">
        <v>1259</v>
      </c>
      <c r="I398" t="s">
        <v>82</v>
      </c>
      <c r="J398">
        <v>47735.38</v>
      </c>
      <c r="K398">
        <v>221</v>
      </c>
      <c r="L398" t="s">
        <v>28</v>
      </c>
      <c r="M398" s="1">
        <v>43926</v>
      </c>
      <c r="N398" t="s">
        <v>67</v>
      </c>
      <c r="O398" t="s">
        <v>30</v>
      </c>
      <c r="P398">
        <v>9</v>
      </c>
      <c r="Q398" t="s">
        <v>31</v>
      </c>
      <c r="R398" t="s">
        <v>44</v>
      </c>
      <c r="S398">
        <v>3</v>
      </c>
      <c r="T398">
        <v>2020</v>
      </c>
      <c r="U398" t="s">
        <v>122</v>
      </c>
    </row>
    <row r="399" spans="1:21" x14ac:dyDescent="0.3">
      <c r="A399" t="s">
        <v>1260</v>
      </c>
      <c r="B399">
        <v>47</v>
      </c>
      <c r="C399" t="s">
        <v>22</v>
      </c>
      <c r="D399" t="s">
        <v>149</v>
      </c>
      <c r="E399" t="s">
        <v>57</v>
      </c>
      <c r="F399" s="1">
        <v>43881</v>
      </c>
      <c r="G399" t="s">
        <v>1261</v>
      </c>
      <c r="H399" t="s">
        <v>1262</v>
      </c>
      <c r="I399" t="s">
        <v>73</v>
      </c>
      <c r="J399">
        <v>2826.81</v>
      </c>
      <c r="K399">
        <v>256</v>
      </c>
      <c r="L399" t="s">
        <v>60</v>
      </c>
      <c r="M399" s="1">
        <v>43891</v>
      </c>
      <c r="N399" t="s">
        <v>99</v>
      </c>
      <c r="O399" t="s">
        <v>30</v>
      </c>
      <c r="P399">
        <v>10</v>
      </c>
      <c r="Q399" t="s">
        <v>68</v>
      </c>
      <c r="R399" t="s">
        <v>100</v>
      </c>
      <c r="S399">
        <v>2</v>
      </c>
      <c r="T399">
        <v>2020</v>
      </c>
      <c r="U399" t="s">
        <v>278</v>
      </c>
    </row>
    <row r="400" spans="1:21" x14ac:dyDescent="0.3">
      <c r="A400" t="s">
        <v>1263</v>
      </c>
      <c r="B400">
        <v>51</v>
      </c>
      <c r="C400" t="s">
        <v>22</v>
      </c>
      <c r="D400" t="s">
        <v>149</v>
      </c>
      <c r="E400" t="s">
        <v>96</v>
      </c>
      <c r="F400" s="1">
        <v>43998</v>
      </c>
      <c r="G400" t="s">
        <v>1264</v>
      </c>
      <c r="H400" t="s">
        <v>1265</v>
      </c>
      <c r="I400" t="s">
        <v>27</v>
      </c>
      <c r="J400">
        <v>26524.17</v>
      </c>
      <c r="K400">
        <v>426</v>
      </c>
      <c r="L400" t="s">
        <v>60</v>
      </c>
      <c r="M400" s="1">
        <v>44003</v>
      </c>
      <c r="N400" t="s">
        <v>67</v>
      </c>
      <c r="O400" t="s">
        <v>42</v>
      </c>
      <c r="P400">
        <v>5</v>
      </c>
      <c r="Q400" t="s">
        <v>68</v>
      </c>
      <c r="R400" t="s">
        <v>32</v>
      </c>
      <c r="S400">
        <v>6</v>
      </c>
      <c r="T400">
        <v>2020</v>
      </c>
      <c r="U400" t="s">
        <v>118</v>
      </c>
    </row>
    <row r="401" spans="1:21" x14ac:dyDescent="0.3">
      <c r="A401" t="s">
        <v>1266</v>
      </c>
      <c r="B401">
        <v>48</v>
      </c>
      <c r="C401" t="s">
        <v>47</v>
      </c>
      <c r="D401" t="s">
        <v>23</v>
      </c>
      <c r="E401" t="s">
        <v>96</v>
      </c>
      <c r="F401" s="1">
        <v>43622</v>
      </c>
      <c r="G401" t="s">
        <v>1267</v>
      </c>
      <c r="H401" t="s">
        <v>1268</v>
      </c>
      <c r="I401" t="s">
        <v>73</v>
      </c>
      <c r="J401">
        <v>36727.58</v>
      </c>
      <c r="K401">
        <v>386</v>
      </c>
      <c r="L401" t="s">
        <v>28</v>
      </c>
      <c r="M401" s="1">
        <v>43648</v>
      </c>
      <c r="N401" t="s">
        <v>41</v>
      </c>
      <c r="O401" t="s">
        <v>30</v>
      </c>
      <c r="P401">
        <v>26</v>
      </c>
      <c r="Q401" t="s">
        <v>68</v>
      </c>
      <c r="R401" t="s">
        <v>44</v>
      </c>
      <c r="S401">
        <v>6</v>
      </c>
      <c r="T401">
        <v>2019</v>
      </c>
      <c r="U401" t="s">
        <v>118</v>
      </c>
    </row>
    <row r="402" spans="1:21" x14ac:dyDescent="0.3">
      <c r="A402" t="s">
        <v>1269</v>
      </c>
      <c r="B402">
        <v>83</v>
      </c>
      <c r="C402" t="s">
        <v>22</v>
      </c>
      <c r="D402" t="s">
        <v>23</v>
      </c>
      <c r="E402" t="s">
        <v>115</v>
      </c>
      <c r="F402" s="1">
        <v>44579</v>
      </c>
      <c r="G402" t="s">
        <v>1270</v>
      </c>
      <c r="H402" t="s">
        <v>1271</v>
      </c>
      <c r="I402" t="s">
        <v>27</v>
      </c>
      <c r="J402">
        <v>4509.3999999999996</v>
      </c>
      <c r="K402">
        <v>175</v>
      </c>
      <c r="L402" t="s">
        <v>60</v>
      </c>
      <c r="M402" s="1">
        <v>44597</v>
      </c>
      <c r="N402" t="s">
        <v>29</v>
      </c>
      <c r="O402" t="s">
        <v>61</v>
      </c>
      <c r="P402">
        <v>18</v>
      </c>
      <c r="Q402" t="s">
        <v>53</v>
      </c>
      <c r="R402" t="s">
        <v>100</v>
      </c>
      <c r="S402">
        <v>1</v>
      </c>
      <c r="T402">
        <v>2022</v>
      </c>
      <c r="U402" t="s">
        <v>33</v>
      </c>
    </row>
    <row r="403" spans="1:21" x14ac:dyDescent="0.3">
      <c r="A403" t="s">
        <v>1272</v>
      </c>
      <c r="B403">
        <v>64</v>
      </c>
      <c r="C403" t="s">
        <v>22</v>
      </c>
      <c r="D403" t="s">
        <v>35</v>
      </c>
      <c r="E403" t="s">
        <v>115</v>
      </c>
      <c r="F403" s="1">
        <v>44207</v>
      </c>
      <c r="G403" t="s">
        <v>1273</v>
      </c>
      <c r="H403" t="s">
        <v>1274</v>
      </c>
      <c r="I403" t="s">
        <v>51</v>
      </c>
      <c r="J403">
        <v>25709.58</v>
      </c>
      <c r="K403">
        <v>180</v>
      </c>
      <c r="L403" t="s">
        <v>60</v>
      </c>
      <c r="M403" s="1">
        <v>44219</v>
      </c>
      <c r="N403" t="s">
        <v>52</v>
      </c>
      <c r="O403" t="s">
        <v>61</v>
      </c>
      <c r="P403">
        <v>12</v>
      </c>
      <c r="Q403" t="s">
        <v>43</v>
      </c>
      <c r="R403" t="s">
        <v>32</v>
      </c>
      <c r="S403">
        <v>1</v>
      </c>
      <c r="T403">
        <v>2021</v>
      </c>
      <c r="U403" t="s">
        <v>33</v>
      </c>
    </row>
    <row r="404" spans="1:21" x14ac:dyDescent="0.3">
      <c r="A404" t="s">
        <v>1275</v>
      </c>
      <c r="B404">
        <v>19</v>
      </c>
      <c r="C404" t="s">
        <v>22</v>
      </c>
      <c r="D404" t="s">
        <v>56</v>
      </c>
      <c r="E404" t="s">
        <v>36</v>
      </c>
      <c r="F404" s="1">
        <v>44231</v>
      </c>
      <c r="G404" t="s">
        <v>1276</v>
      </c>
      <c r="H404" t="s">
        <v>1277</v>
      </c>
      <c r="I404" t="s">
        <v>39</v>
      </c>
      <c r="J404">
        <v>20086.22</v>
      </c>
      <c r="K404">
        <v>270</v>
      </c>
      <c r="L404" t="s">
        <v>28</v>
      </c>
      <c r="M404" s="1">
        <v>44242</v>
      </c>
      <c r="N404" t="s">
        <v>52</v>
      </c>
      <c r="O404" t="s">
        <v>61</v>
      </c>
      <c r="P404">
        <v>11</v>
      </c>
      <c r="Q404" t="s">
        <v>31</v>
      </c>
      <c r="R404" t="s">
        <v>32</v>
      </c>
      <c r="S404">
        <v>2</v>
      </c>
      <c r="T404">
        <v>2021</v>
      </c>
      <c r="U404" t="s">
        <v>278</v>
      </c>
    </row>
    <row r="405" spans="1:21" x14ac:dyDescent="0.3">
      <c r="A405" t="s">
        <v>1278</v>
      </c>
      <c r="B405">
        <v>39</v>
      </c>
      <c r="C405" t="s">
        <v>22</v>
      </c>
      <c r="D405" t="s">
        <v>23</v>
      </c>
      <c r="E405" t="s">
        <v>70</v>
      </c>
      <c r="F405" s="1">
        <v>44711</v>
      </c>
      <c r="G405" t="s">
        <v>1279</v>
      </c>
      <c r="H405" t="s">
        <v>1280</v>
      </c>
      <c r="I405" t="s">
        <v>73</v>
      </c>
      <c r="J405">
        <v>36862.17</v>
      </c>
      <c r="K405">
        <v>338</v>
      </c>
      <c r="L405" t="s">
        <v>60</v>
      </c>
      <c r="M405" s="1">
        <v>44713</v>
      </c>
      <c r="N405" t="s">
        <v>52</v>
      </c>
      <c r="O405" t="s">
        <v>42</v>
      </c>
      <c r="P405">
        <v>2</v>
      </c>
      <c r="Q405" t="s">
        <v>68</v>
      </c>
      <c r="R405" t="s">
        <v>44</v>
      </c>
      <c r="S405">
        <v>5</v>
      </c>
      <c r="T405">
        <v>2022</v>
      </c>
      <c r="U405" t="s">
        <v>90</v>
      </c>
    </row>
    <row r="406" spans="1:21" x14ac:dyDescent="0.3">
      <c r="A406" t="s">
        <v>1281</v>
      </c>
      <c r="B406">
        <v>23</v>
      </c>
      <c r="C406" t="s">
        <v>47</v>
      </c>
      <c r="D406" t="s">
        <v>56</v>
      </c>
      <c r="E406" t="s">
        <v>96</v>
      </c>
      <c r="F406" s="1">
        <v>44549</v>
      </c>
      <c r="G406" t="s">
        <v>1282</v>
      </c>
      <c r="H406" t="s">
        <v>1283</v>
      </c>
      <c r="I406" t="s">
        <v>27</v>
      </c>
      <c r="J406">
        <v>40065.339999999997</v>
      </c>
      <c r="K406">
        <v>360</v>
      </c>
      <c r="L406" t="s">
        <v>60</v>
      </c>
      <c r="M406" s="1">
        <v>44560</v>
      </c>
      <c r="N406" t="s">
        <v>29</v>
      </c>
      <c r="O406" t="s">
        <v>30</v>
      </c>
      <c r="P406">
        <v>11</v>
      </c>
      <c r="Q406" t="s">
        <v>31</v>
      </c>
      <c r="R406" t="s">
        <v>44</v>
      </c>
      <c r="S406">
        <v>12</v>
      </c>
      <c r="T406">
        <v>2021</v>
      </c>
      <c r="U406" t="s">
        <v>74</v>
      </c>
    </row>
    <row r="407" spans="1:21" x14ac:dyDescent="0.3">
      <c r="A407" t="s">
        <v>1284</v>
      </c>
      <c r="B407">
        <v>24</v>
      </c>
      <c r="C407" t="s">
        <v>22</v>
      </c>
      <c r="D407" t="s">
        <v>127</v>
      </c>
      <c r="E407" t="s">
        <v>57</v>
      </c>
      <c r="F407" s="1">
        <v>44397</v>
      </c>
      <c r="G407" t="s">
        <v>1285</v>
      </c>
      <c r="H407" t="s">
        <v>1286</v>
      </c>
      <c r="I407" t="s">
        <v>73</v>
      </c>
      <c r="J407">
        <v>41997.35</v>
      </c>
      <c r="K407">
        <v>252</v>
      </c>
      <c r="L407" t="s">
        <v>60</v>
      </c>
      <c r="M407" s="1">
        <v>44415</v>
      </c>
      <c r="N407" t="s">
        <v>99</v>
      </c>
      <c r="O407" t="s">
        <v>61</v>
      </c>
      <c r="P407">
        <v>18</v>
      </c>
      <c r="Q407" t="s">
        <v>31</v>
      </c>
      <c r="R407" t="s">
        <v>44</v>
      </c>
      <c r="S407">
        <v>7</v>
      </c>
      <c r="T407">
        <v>2021</v>
      </c>
      <c r="U407" t="s">
        <v>86</v>
      </c>
    </row>
    <row r="408" spans="1:21" x14ac:dyDescent="0.3">
      <c r="A408" t="s">
        <v>1287</v>
      </c>
      <c r="B408">
        <v>73</v>
      </c>
      <c r="C408" t="s">
        <v>47</v>
      </c>
      <c r="D408" t="s">
        <v>76</v>
      </c>
      <c r="E408" t="s">
        <v>24</v>
      </c>
      <c r="F408" s="1">
        <v>44922</v>
      </c>
      <c r="G408" t="s">
        <v>1288</v>
      </c>
      <c r="H408" t="s">
        <v>1289</v>
      </c>
      <c r="I408" t="s">
        <v>27</v>
      </c>
      <c r="J408">
        <v>22601.57</v>
      </c>
      <c r="K408">
        <v>215</v>
      </c>
      <c r="L408" t="s">
        <v>60</v>
      </c>
      <c r="M408" s="1">
        <v>44945</v>
      </c>
      <c r="N408" t="s">
        <v>29</v>
      </c>
      <c r="O408" t="s">
        <v>61</v>
      </c>
      <c r="P408">
        <v>23</v>
      </c>
      <c r="Q408" t="s">
        <v>53</v>
      </c>
      <c r="R408" t="s">
        <v>32</v>
      </c>
      <c r="S408">
        <v>12</v>
      </c>
      <c r="T408">
        <v>2022</v>
      </c>
      <c r="U408" t="s">
        <v>74</v>
      </c>
    </row>
    <row r="409" spans="1:21" x14ac:dyDescent="0.3">
      <c r="A409" t="s">
        <v>1290</v>
      </c>
      <c r="B409">
        <v>56</v>
      </c>
      <c r="C409" t="s">
        <v>22</v>
      </c>
      <c r="D409" t="s">
        <v>149</v>
      </c>
      <c r="E409" t="s">
        <v>36</v>
      </c>
      <c r="F409" s="1">
        <v>44809</v>
      </c>
      <c r="G409" t="s">
        <v>1291</v>
      </c>
      <c r="H409" t="s">
        <v>1011</v>
      </c>
      <c r="I409" t="s">
        <v>73</v>
      </c>
      <c r="J409">
        <v>36204.730000000003</v>
      </c>
      <c r="K409">
        <v>430</v>
      </c>
      <c r="L409" t="s">
        <v>28</v>
      </c>
      <c r="M409" s="1">
        <v>44838</v>
      </c>
      <c r="N409" t="s">
        <v>67</v>
      </c>
      <c r="O409" t="s">
        <v>30</v>
      </c>
      <c r="P409">
        <v>29</v>
      </c>
      <c r="Q409" t="s">
        <v>43</v>
      </c>
      <c r="R409" t="s">
        <v>44</v>
      </c>
      <c r="S409">
        <v>9</v>
      </c>
      <c r="T409">
        <v>2022</v>
      </c>
      <c r="U409" t="s">
        <v>54</v>
      </c>
    </row>
    <row r="410" spans="1:21" x14ac:dyDescent="0.3">
      <c r="A410" t="s">
        <v>1292</v>
      </c>
      <c r="B410">
        <v>36</v>
      </c>
      <c r="C410" t="s">
        <v>22</v>
      </c>
      <c r="D410" t="s">
        <v>127</v>
      </c>
      <c r="E410" t="s">
        <v>24</v>
      </c>
      <c r="F410" s="1">
        <v>44769</v>
      </c>
      <c r="G410" t="s">
        <v>1293</v>
      </c>
      <c r="H410" t="s">
        <v>1294</v>
      </c>
      <c r="I410" t="s">
        <v>82</v>
      </c>
      <c r="J410">
        <v>41311.29</v>
      </c>
      <c r="K410">
        <v>434</v>
      </c>
      <c r="L410" t="s">
        <v>40</v>
      </c>
      <c r="M410" s="1">
        <v>44792</v>
      </c>
      <c r="N410" t="s">
        <v>99</v>
      </c>
      <c r="O410" t="s">
        <v>42</v>
      </c>
      <c r="P410">
        <v>23</v>
      </c>
      <c r="Q410" t="s">
        <v>68</v>
      </c>
      <c r="R410" t="s">
        <v>44</v>
      </c>
      <c r="S410">
        <v>7</v>
      </c>
      <c r="T410">
        <v>2022</v>
      </c>
      <c r="U410" t="s">
        <v>86</v>
      </c>
    </row>
    <row r="411" spans="1:21" x14ac:dyDescent="0.3">
      <c r="A411" t="s">
        <v>1295</v>
      </c>
      <c r="B411">
        <v>33</v>
      </c>
      <c r="C411" t="s">
        <v>22</v>
      </c>
      <c r="D411" t="s">
        <v>35</v>
      </c>
      <c r="E411" t="s">
        <v>24</v>
      </c>
      <c r="F411" s="1">
        <v>45415</v>
      </c>
      <c r="G411" t="s">
        <v>1296</v>
      </c>
      <c r="H411" t="s">
        <v>1297</v>
      </c>
      <c r="I411" t="s">
        <v>51</v>
      </c>
      <c r="J411">
        <v>36890.269999999997</v>
      </c>
      <c r="K411">
        <v>374</v>
      </c>
      <c r="L411" t="s">
        <v>60</v>
      </c>
      <c r="M411" s="1">
        <v>45427</v>
      </c>
      <c r="N411" t="s">
        <v>99</v>
      </c>
      <c r="O411" t="s">
        <v>30</v>
      </c>
      <c r="P411">
        <v>12</v>
      </c>
      <c r="Q411" t="s">
        <v>31</v>
      </c>
      <c r="R411" t="s">
        <v>44</v>
      </c>
      <c r="S411">
        <v>5</v>
      </c>
      <c r="T411">
        <v>2024</v>
      </c>
      <c r="U411" t="s">
        <v>90</v>
      </c>
    </row>
    <row r="412" spans="1:21" x14ac:dyDescent="0.3">
      <c r="A412" t="s">
        <v>1298</v>
      </c>
      <c r="B412">
        <v>21</v>
      </c>
      <c r="C412" t="s">
        <v>22</v>
      </c>
      <c r="D412" t="s">
        <v>56</v>
      </c>
      <c r="E412" t="s">
        <v>115</v>
      </c>
      <c r="F412" s="1">
        <v>43705</v>
      </c>
      <c r="G412" t="s">
        <v>1299</v>
      </c>
      <c r="H412" t="s">
        <v>1300</v>
      </c>
      <c r="I412" t="s">
        <v>51</v>
      </c>
      <c r="J412">
        <v>5716.1</v>
      </c>
      <c r="K412">
        <v>293</v>
      </c>
      <c r="L412" t="s">
        <v>40</v>
      </c>
      <c r="M412" s="1">
        <v>43724</v>
      </c>
      <c r="N412" t="s">
        <v>52</v>
      </c>
      <c r="O412" t="s">
        <v>61</v>
      </c>
      <c r="P412">
        <v>19</v>
      </c>
      <c r="Q412" t="s">
        <v>31</v>
      </c>
      <c r="R412" t="s">
        <v>100</v>
      </c>
      <c r="S412">
        <v>8</v>
      </c>
      <c r="T412">
        <v>2019</v>
      </c>
      <c r="U412" t="s">
        <v>45</v>
      </c>
    </row>
    <row r="413" spans="1:21" x14ac:dyDescent="0.3">
      <c r="A413" t="s">
        <v>1301</v>
      </c>
      <c r="B413">
        <v>80</v>
      </c>
      <c r="C413" t="s">
        <v>22</v>
      </c>
      <c r="D413" t="s">
        <v>23</v>
      </c>
      <c r="E413" t="s">
        <v>57</v>
      </c>
      <c r="F413" s="1">
        <v>45403</v>
      </c>
      <c r="G413" t="s">
        <v>1302</v>
      </c>
      <c r="H413" t="s">
        <v>1303</v>
      </c>
      <c r="I413" t="s">
        <v>27</v>
      </c>
      <c r="J413">
        <v>10461.98</v>
      </c>
      <c r="K413">
        <v>481</v>
      </c>
      <c r="L413" t="s">
        <v>40</v>
      </c>
      <c r="M413" s="1">
        <v>45419</v>
      </c>
      <c r="N413" t="s">
        <v>52</v>
      </c>
      <c r="O413" t="s">
        <v>61</v>
      </c>
      <c r="P413">
        <v>16</v>
      </c>
      <c r="Q413" t="s">
        <v>53</v>
      </c>
      <c r="R413" t="s">
        <v>32</v>
      </c>
      <c r="S413">
        <v>4</v>
      </c>
      <c r="T413">
        <v>2024</v>
      </c>
      <c r="U413" t="s">
        <v>94</v>
      </c>
    </row>
    <row r="414" spans="1:21" x14ac:dyDescent="0.3">
      <c r="A414" t="s">
        <v>1304</v>
      </c>
      <c r="B414">
        <v>79</v>
      </c>
      <c r="C414" t="s">
        <v>47</v>
      </c>
      <c r="D414" t="s">
        <v>56</v>
      </c>
      <c r="E414" t="s">
        <v>115</v>
      </c>
      <c r="F414" s="1">
        <v>45363</v>
      </c>
      <c r="G414" t="s">
        <v>1305</v>
      </c>
      <c r="H414" t="s">
        <v>1306</v>
      </c>
      <c r="I414" t="s">
        <v>27</v>
      </c>
      <c r="J414">
        <v>37879.980000000003</v>
      </c>
      <c r="K414">
        <v>110</v>
      </c>
      <c r="L414" t="s">
        <v>28</v>
      </c>
      <c r="M414" s="1">
        <v>45386</v>
      </c>
      <c r="N414" t="s">
        <v>52</v>
      </c>
      <c r="O414" t="s">
        <v>61</v>
      </c>
      <c r="P414">
        <v>23</v>
      </c>
      <c r="Q414" t="s">
        <v>53</v>
      </c>
      <c r="R414" t="s">
        <v>44</v>
      </c>
      <c r="S414">
        <v>3</v>
      </c>
      <c r="T414">
        <v>2024</v>
      </c>
      <c r="U414" t="s">
        <v>122</v>
      </c>
    </row>
    <row r="415" spans="1:21" x14ac:dyDescent="0.3">
      <c r="A415" t="s">
        <v>1307</v>
      </c>
      <c r="B415">
        <v>44</v>
      </c>
      <c r="C415" t="s">
        <v>22</v>
      </c>
      <c r="D415" t="s">
        <v>35</v>
      </c>
      <c r="E415" t="s">
        <v>36</v>
      </c>
      <c r="F415" s="1">
        <v>43737</v>
      </c>
      <c r="G415" t="s">
        <v>1308</v>
      </c>
      <c r="H415" t="s">
        <v>1309</v>
      </c>
      <c r="I415" t="s">
        <v>73</v>
      </c>
      <c r="J415">
        <v>44355.199999999997</v>
      </c>
      <c r="K415">
        <v>177</v>
      </c>
      <c r="L415" t="s">
        <v>60</v>
      </c>
      <c r="M415" s="1">
        <v>43743</v>
      </c>
      <c r="N415" t="s">
        <v>52</v>
      </c>
      <c r="O415" t="s">
        <v>42</v>
      </c>
      <c r="P415">
        <v>6</v>
      </c>
      <c r="Q415" t="s">
        <v>68</v>
      </c>
      <c r="R415" t="s">
        <v>44</v>
      </c>
      <c r="S415">
        <v>9</v>
      </c>
      <c r="T415">
        <v>2019</v>
      </c>
      <c r="U415" t="s">
        <v>54</v>
      </c>
    </row>
    <row r="416" spans="1:21" x14ac:dyDescent="0.3">
      <c r="A416" t="s">
        <v>1310</v>
      </c>
      <c r="B416">
        <v>23</v>
      </c>
      <c r="C416" t="s">
        <v>22</v>
      </c>
      <c r="D416" t="s">
        <v>64</v>
      </c>
      <c r="E416" t="s">
        <v>36</v>
      </c>
      <c r="F416" s="1">
        <v>44792</v>
      </c>
      <c r="G416" t="s">
        <v>1311</v>
      </c>
      <c r="H416" t="s">
        <v>1312</v>
      </c>
      <c r="I416" t="s">
        <v>39</v>
      </c>
      <c r="J416">
        <v>28355.45</v>
      </c>
      <c r="K416">
        <v>327</v>
      </c>
      <c r="L416" t="s">
        <v>28</v>
      </c>
      <c r="M416" s="1">
        <v>44797</v>
      </c>
      <c r="N416" t="s">
        <v>67</v>
      </c>
      <c r="O416" t="s">
        <v>30</v>
      </c>
      <c r="P416">
        <v>5</v>
      </c>
      <c r="Q416" t="s">
        <v>31</v>
      </c>
      <c r="R416" t="s">
        <v>32</v>
      </c>
      <c r="S416">
        <v>8</v>
      </c>
      <c r="T416">
        <v>2022</v>
      </c>
      <c r="U416" t="s">
        <v>45</v>
      </c>
    </row>
    <row r="417" spans="1:21" x14ac:dyDescent="0.3">
      <c r="A417" t="s">
        <v>1313</v>
      </c>
      <c r="B417">
        <v>75</v>
      </c>
      <c r="C417" t="s">
        <v>22</v>
      </c>
      <c r="D417" t="s">
        <v>48</v>
      </c>
      <c r="E417" t="s">
        <v>24</v>
      </c>
      <c r="F417" s="1">
        <v>44487</v>
      </c>
      <c r="G417" t="s">
        <v>1314</v>
      </c>
      <c r="H417" t="s">
        <v>1315</v>
      </c>
      <c r="I417" t="s">
        <v>27</v>
      </c>
      <c r="J417">
        <v>22935.41</v>
      </c>
      <c r="K417">
        <v>217</v>
      </c>
      <c r="L417" t="s">
        <v>60</v>
      </c>
      <c r="M417" s="1">
        <v>44501</v>
      </c>
      <c r="N417" t="s">
        <v>41</v>
      </c>
      <c r="O417" t="s">
        <v>30</v>
      </c>
      <c r="P417">
        <v>14</v>
      </c>
      <c r="Q417" t="s">
        <v>53</v>
      </c>
      <c r="R417" t="s">
        <v>32</v>
      </c>
      <c r="S417">
        <v>10</v>
      </c>
      <c r="T417">
        <v>2021</v>
      </c>
      <c r="U417" t="s">
        <v>110</v>
      </c>
    </row>
    <row r="418" spans="1:21" x14ac:dyDescent="0.3">
      <c r="A418" t="s">
        <v>1316</v>
      </c>
      <c r="B418">
        <v>60</v>
      </c>
      <c r="C418" t="s">
        <v>22</v>
      </c>
      <c r="D418" t="s">
        <v>48</v>
      </c>
      <c r="E418" t="s">
        <v>96</v>
      </c>
      <c r="F418" s="1">
        <v>45023</v>
      </c>
      <c r="G418" t="s">
        <v>1317</v>
      </c>
      <c r="H418" t="s">
        <v>1318</v>
      </c>
      <c r="I418" t="s">
        <v>39</v>
      </c>
      <c r="J418">
        <v>42605.64</v>
      </c>
      <c r="K418">
        <v>366</v>
      </c>
      <c r="L418" t="s">
        <v>60</v>
      </c>
      <c r="M418" s="1">
        <v>45051</v>
      </c>
      <c r="N418" t="s">
        <v>99</v>
      </c>
      <c r="O418" t="s">
        <v>30</v>
      </c>
      <c r="P418">
        <v>28</v>
      </c>
      <c r="Q418" t="s">
        <v>43</v>
      </c>
      <c r="R418" t="s">
        <v>44</v>
      </c>
      <c r="S418">
        <v>4</v>
      </c>
      <c r="T418">
        <v>2023</v>
      </c>
      <c r="U418" t="s">
        <v>94</v>
      </c>
    </row>
    <row r="419" spans="1:21" x14ac:dyDescent="0.3">
      <c r="A419" t="s">
        <v>1319</v>
      </c>
      <c r="B419">
        <v>83</v>
      </c>
      <c r="C419" t="s">
        <v>22</v>
      </c>
      <c r="D419" t="s">
        <v>76</v>
      </c>
      <c r="E419" t="s">
        <v>70</v>
      </c>
      <c r="F419" s="1">
        <v>43766</v>
      </c>
      <c r="G419" t="s">
        <v>1320</v>
      </c>
      <c r="H419" t="s">
        <v>1321</v>
      </c>
      <c r="I419" t="s">
        <v>73</v>
      </c>
      <c r="J419">
        <v>24023.96</v>
      </c>
      <c r="K419">
        <v>118</v>
      </c>
      <c r="L419" t="s">
        <v>60</v>
      </c>
      <c r="M419" s="1">
        <v>43793</v>
      </c>
      <c r="N419" t="s">
        <v>41</v>
      </c>
      <c r="O419" t="s">
        <v>42</v>
      </c>
      <c r="P419">
        <v>27</v>
      </c>
      <c r="Q419" t="s">
        <v>53</v>
      </c>
      <c r="R419" t="s">
        <v>32</v>
      </c>
      <c r="S419">
        <v>10</v>
      </c>
      <c r="T419">
        <v>2019</v>
      </c>
      <c r="U419" t="s">
        <v>110</v>
      </c>
    </row>
    <row r="420" spans="1:21" x14ac:dyDescent="0.3">
      <c r="A420" t="s">
        <v>1322</v>
      </c>
      <c r="B420">
        <v>61</v>
      </c>
      <c r="C420" t="s">
        <v>47</v>
      </c>
      <c r="D420" t="s">
        <v>64</v>
      </c>
      <c r="E420" t="s">
        <v>96</v>
      </c>
      <c r="F420" s="1">
        <v>44011</v>
      </c>
      <c r="G420" t="s">
        <v>1323</v>
      </c>
      <c r="H420" t="s">
        <v>1324</v>
      </c>
      <c r="I420" t="s">
        <v>73</v>
      </c>
      <c r="J420">
        <v>20577.71</v>
      </c>
      <c r="K420">
        <v>387</v>
      </c>
      <c r="L420" t="s">
        <v>60</v>
      </c>
      <c r="M420" s="1">
        <v>44038</v>
      </c>
      <c r="N420" t="s">
        <v>67</v>
      </c>
      <c r="O420" t="s">
        <v>30</v>
      </c>
      <c r="P420">
        <v>27</v>
      </c>
      <c r="Q420" t="s">
        <v>43</v>
      </c>
      <c r="R420" t="s">
        <v>32</v>
      </c>
      <c r="S420">
        <v>6</v>
      </c>
      <c r="T420">
        <v>2020</v>
      </c>
      <c r="U420" t="s">
        <v>118</v>
      </c>
    </row>
    <row r="421" spans="1:21" x14ac:dyDescent="0.3">
      <c r="A421" t="s">
        <v>1325</v>
      </c>
      <c r="B421">
        <v>82</v>
      </c>
      <c r="C421" t="s">
        <v>47</v>
      </c>
      <c r="D421" t="s">
        <v>64</v>
      </c>
      <c r="E421" t="s">
        <v>57</v>
      </c>
      <c r="F421" s="1">
        <v>44825</v>
      </c>
      <c r="G421" t="s">
        <v>1326</v>
      </c>
      <c r="H421" t="s">
        <v>1327</v>
      </c>
      <c r="I421" t="s">
        <v>51</v>
      </c>
      <c r="J421">
        <v>7264.89</v>
      </c>
      <c r="K421">
        <v>237</v>
      </c>
      <c r="L421" t="s">
        <v>40</v>
      </c>
      <c r="M421" s="1">
        <v>44837</v>
      </c>
      <c r="N421" t="s">
        <v>52</v>
      </c>
      <c r="O421" t="s">
        <v>30</v>
      </c>
      <c r="P421">
        <v>12</v>
      </c>
      <c r="Q421" t="s">
        <v>53</v>
      </c>
      <c r="R421" t="s">
        <v>100</v>
      </c>
      <c r="S421">
        <v>9</v>
      </c>
      <c r="T421">
        <v>2022</v>
      </c>
      <c r="U421" t="s">
        <v>54</v>
      </c>
    </row>
    <row r="422" spans="1:21" x14ac:dyDescent="0.3">
      <c r="A422" t="s">
        <v>1328</v>
      </c>
      <c r="B422">
        <v>40</v>
      </c>
      <c r="C422" t="s">
        <v>22</v>
      </c>
      <c r="D422" t="s">
        <v>48</v>
      </c>
      <c r="E422" t="s">
        <v>115</v>
      </c>
      <c r="F422" s="1">
        <v>45148</v>
      </c>
      <c r="G422" t="s">
        <v>1329</v>
      </c>
      <c r="H422" t="s">
        <v>1330</v>
      </c>
      <c r="I422" t="s">
        <v>82</v>
      </c>
      <c r="J422">
        <v>29913.85</v>
      </c>
      <c r="K422">
        <v>317</v>
      </c>
      <c r="L422" t="s">
        <v>28</v>
      </c>
      <c r="M422" s="1">
        <v>45153</v>
      </c>
      <c r="N422" t="s">
        <v>41</v>
      </c>
      <c r="O422" t="s">
        <v>30</v>
      </c>
      <c r="P422">
        <v>5</v>
      </c>
      <c r="Q422" t="s">
        <v>68</v>
      </c>
      <c r="R422" t="s">
        <v>32</v>
      </c>
      <c r="S422">
        <v>8</v>
      </c>
      <c r="T422">
        <v>2023</v>
      </c>
      <c r="U422" t="s">
        <v>45</v>
      </c>
    </row>
    <row r="423" spans="1:21" x14ac:dyDescent="0.3">
      <c r="A423" t="s">
        <v>1331</v>
      </c>
      <c r="B423">
        <v>70</v>
      </c>
      <c r="C423" t="s">
        <v>47</v>
      </c>
      <c r="D423" t="s">
        <v>127</v>
      </c>
      <c r="E423" t="s">
        <v>96</v>
      </c>
      <c r="F423" s="1">
        <v>44697</v>
      </c>
      <c r="G423" t="s">
        <v>1332</v>
      </c>
      <c r="H423" t="s">
        <v>1333</v>
      </c>
      <c r="I423" t="s">
        <v>82</v>
      </c>
      <c r="J423">
        <v>43353.4</v>
      </c>
      <c r="K423">
        <v>266</v>
      </c>
      <c r="L423" t="s">
        <v>60</v>
      </c>
      <c r="M423" s="1">
        <v>44707</v>
      </c>
      <c r="N423" t="s">
        <v>99</v>
      </c>
      <c r="O423" t="s">
        <v>30</v>
      </c>
      <c r="P423">
        <v>10</v>
      </c>
      <c r="Q423" t="s">
        <v>43</v>
      </c>
      <c r="R423" t="s">
        <v>44</v>
      </c>
      <c r="S423">
        <v>5</v>
      </c>
      <c r="T423">
        <v>2022</v>
      </c>
      <c r="U423" t="s">
        <v>90</v>
      </c>
    </row>
    <row r="424" spans="1:21" x14ac:dyDescent="0.3">
      <c r="A424" t="s">
        <v>1334</v>
      </c>
      <c r="B424">
        <v>68</v>
      </c>
      <c r="C424" t="s">
        <v>47</v>
      </c>
      <c r="D424" t="s">
        <v>56</v>
      </c>
      <c r="E424" t="s">
        <v>24</v>
      </c>
      <c r="F424" s="1">
        <v>44068</v>
      </c>
      <c r="G424" t="s">
        <v>1335</v>
      </c>
      <c r="H424" t="s">
        <v>1336</v>
      </c>
      <c r="I424" t="s">
        <v>27</v>
      </c>
      <c r="J424">
        <v>18382.66</v>
      </c>
      <c r="K424">
        <v>355</v>
      </c>
      <c r="L424" t="s">
        <v>60</v>
      </c>
      <c r="M424" s="1">
        <v>44089</v>
      </c>
      <c r="N424" t="s">
        <v>99</v>
      </c>
      <c r="O424" t="s">
        <v>61</v>
      </c>
      <c r="P424">
        <v>21</v>
      </c>
      <c r="Q424" t="s">
        <v>43</v>
      </c>
      <c r="R424" t="s">
        <v>32</v>
      </c>
      <c r="S424">
        <v>8</v>
      </c>
      <c r="T424">
        <v>2020</v>
      </c>
      <c r="U424" t="s">
        <v>45</v>
      </c>
    </row>
    <row r="425" spans="1:21" x14ac:dyDescent="0.3">
      <c r="A425" t="s">
        <v>1337</v>
      </c>
      <c r="B425">
        <v>31</v>
      </c>
      <c r="C425" t="s">
        <v>47</v>
      </c>
      <c r="D425" t="s">
        <v>23</v>
      </c>
      <c r="E425" t="s">
        <v>24</v>
      </c>
      <c r="F425" s="1">
        <v>45203</v>
      </c>
      <c r="G425" t="s">
        <v>1338</v>
      </c>
      <c r="H425" t="s">
        <v>1339</v>
      </c>
      <c r="I425" t="s">
        <v>27</v>
      </c>
      <c r="J425">
        <v>49419.87</v>
      </c>
      <c r="K425">
        <v>328</v>
      </c>
      <c r="L425" t="s">
        <v>60</v>
      </c>
      <c r="M425" s="1">
        <v>45210</v>
      </c>
      <c r="N425" t="s">
        <v>41</v>
      </c>
      <c r="O425" t="s">
        <v>42</v>
      </c>
      <c r="P425">
        <v>7</v>
      </c>
      <c r="Q425" t="s">
        <v>31</v>
      </c>
      <c r="R425" t="s">
        <v>44</v>
      </c>
      <c r="S425">
        <v>10</v>
      </c>
      <c r="T425">
        <v>2023</v>
      </c>
      <c r="U425" t="s">
        <v>110</v>
      </c>
    </row>
    <row r="426" spans="1:21" x14ac:dyDescent="0.3">
      <c r="A426" t="s">
        <v>1340</v>
      </c>
      <c r="B426">
        <v>28</v>
      </c>
      <c r="C426" t="s">
        <v>22</v>
      </c>
      <c r="D426" t="s">
        <v>56</v>
      </c>
      <c r="E426" t="s">
        <v>70</v>
      </c>
      <c r="F426" s="1">
        <v>44679</v>
      </c>
      <c r="G426" t="s">
        <v>1341</v>
      </c>
      <c r="H426" t="s">
        <v>1342</v>
      </c>
      <c r="I426" t="s">
        <v>51</v>
      </c>
      <c r="J426">
        <v>9958.02</v>
      </c>
      <c r="K426">
        <v>364</v>
      </c>
      <c r="L426" t="s">
        <v>40</v>
      </c>
      <c r="M426" s="1">
        <v>44708</v>
      </c>
      <c r="N426" t="s">
        <v>67</v>
      </c>
      <c r="O426" t="s">
        <v>42</v>
      </c>
      <c r="P426">
        <v>29</v>
      </c>
      <c r="Q426" t="s">
        <v>31</v>
      </c>
      <c r="R426" t="s">
        <v>100</v>
      </c>
      <c r="S426">
        <v>4</v>
      </c>
      <c r="T426">
        <v>2022</v>
      </c>
      <c r="U426" t="s">
        <v>94</v>
      </c>
    </row>
    <row r="427" spans="1:21" x14ac:dyDescent="0.3">
      <c r="A427" t="s">
        <v>1343</v>
      </c>
      <c r="B427">
        <v>84</v>
      </c>
      <c r="C427" t="s">
        <v>22</v>
      </c>
      <c r="D427" t="s">
        <v>56</v>
      </c>
      <c r="E427" t="s">
        <v>96</v>
      </c>
      <c r="F427" s="1">
        <v>43614</v>
      </c>
      <c r="G427" t="s">
        <v>1344</v>
      </c>
      <c r="H427" t="s">
        <v>1345</v>
      </c>
      <c r="I427" t="s">
        <v>27</v>
      </c>
      <c r="J427">
        <v>21438.28</v>
      </c>
      <c r="K427">
        <v>217</v>
      </c>
      <c r="L427" t="s">
        <v>60</v>
      </c>
      <c r="M427" s="1">
        <v>43633</v>
      </c>
      <c r="N427" t="s">
        <v>52</v>
      </c>
      <c r="O427" t="s">
        <v>61</v>
      </c>
      <c r="P427">
        <v>19</v>
      </c>
      <c r="Q427" t="s">
        <v>53</v>
      </c>
      <c r="R427" t="s">
        <v>32</v>
      </c>
      <c r="S427">
        <v>5</v>
      </c>
      <c r="T427">
        <v>2019</v>
      </c>
      <c r="U427" t="s">
        <v>90</v>
      </c>
    </row>
    <row r="428" spans="1:21" x14ac:dyDescent="0.3">
      <c r="A428" t="s">
        <v>1346</v>
      </c>
      <c r="B428">
        <v>34</v>
      </c>
      <c r="C428" t="s">
        <v>47</v>
      </c>
      <c r="D428" t="s">
        <v>64</v>
      </c>
      <c r="E428" t="s">
        <v>115</v>
      </c>
      <c r="F428" s="1">
        <v>45360</v>
      </c>
      <c r="G428" t="s">
        <v>1347</v>
      </c>
      <c r="H428" t="s">
        <v>1348</v>
      </c>
      <c r="I428" t="s">
        <v>51</v>
      </c>
      <c r="J428">
        <v>1820.02</v>
      </c>
      <c r="K428">
        <v>356</v>
      </c>
      <c r="L428" t="s">
        <v>40</v>
      </c>
      <c r="M428" s="1">
        <v>45374</v>
      </c>
      <c r="N428" t="s">
        <v>52</v>
      </c>
      <c r="O428" t="s">
        <v>61</v>
      </c>
      <c r="P428">
        <v>14</v>
      </c>
      <c r="Q428" t="s">
        <v>31</v>
      </c>
      <c r="R428" t="s">
        <v>100</v>
      </c>
      <c r="S428">
        <v>3</v>
      </c>
      <c r="T428">
        <v>2024</v>
      </c>
      <c r="U428" t="s">
        <v>122</v>
      </c>
    </row>
    <row r="429" spans="1:21" x14ac:dyDescent="0.3">
      <c r="A429" t="s">
        <v>1349</v>
      </c>
      <c r="B429">
        <v>25</v>
      </c>
      <c r="C429" t="s">
        <v>47</v>
      </c>
      <c r="D429" t="s">
        <v>127</v>
      </c>
      <c r="E429" t="s">
        <v>96</v>
      </c>
      <c r="F429" s="1">
        <v>43837</v>
      </c>
      <c r="G429" t="s">
        <v>1350</v>
      </c>
      <c r="H429" t="s">
        <v>1351</v>
      </c>
      <c r="I429" t="s">
        <v>82</v>
      </c>
      <c r="J429">
        <v>32760.47</v>
      </c>
      <c r="K429">
        <v>476</v>
      </c>
      <c r="L429" t="s">
        <v>28</v>
      </c>
      <c r="M429" s="1">
        <v>43862</v>
      </c>
      <c r="N429" t="s">
        <v>52</v>
      </c>
      <c r="O429" t="s">
        <v>30</v>
      </c>
      <c r="P429">
        <v>25</v>
      </c>
      <c r="Q429" t="s">
        <v>31</v>
      </c>
      <c r="R429" t="s">
        <v>44</v>
      </c>
      <c r="S429">
        <v>1</v>
      </c>
      <c r="T429">
        <v>2020</v>
      </c>
      <c r="U429" t="s">
        <v>33</v>
      </c>
    </row>
    <row r="430" spans="1:21" x14ac:dyDescent="0.3">
      <c r="A430" t="s">
        <v>1352</v>
      </c>
      <c r="B430">
        <v>58</v>
      </c>
      <c r="C430" t="s">
        <v>47</v>
      </c>
      <c r="D430" t="s">
        <v>127</v>
      </c>
      <c r="E430" t="s">
        <v>70</v>
      </c>
      <c r="F430" s="1">
        <v>43779</v>
      </c>
      <c r="G430" t="s">
        <v>1353</v>
      </c>
      <c r="H430" t="s">
        <v>1354</v>
      </c>
      <c r="I430" t="s">
        <v>39</v>
      </c>
      <c r="J430">
        <v>35421.83</v>
      </c>
      <c r="K430">
        <v>134</v>
      </c>
      <c r="L430" t="s">
        <v>60</v>
      </c>
      <c r="M430" s="1">
        <v>43805</v>
      </c>
      <c r="N430" t="s">
        <v>29</v>
      </c>
      <c r="O430" t="s">
        <v>61</v>
      </c>
      <c r="P430">
        <v>26</v>
      </c>
      <c r="Q430" t="s">
        <v>43</v>
      </c>
      <c r="R430" t="s">
        <v>44</v>
      </c>
      <c r="S430">
        <v>11</v>
      </c>
      <c r="T430">
        <v>2019</v>
      </c>
      <c r="U430" t="s">
        <v>62</v>
      </c>
    </row>
    <row r="431" spans="1:21" x14ac:dyDescent="0.3">
      <c r="A431" t="s">
        <v>1355</v>
      </c>
      <c r="B431">
        <v>78</v>
      </c>
      <c r="C431" t="s">
        <v>47</v>
      </c>
      <c r="D431" t="s">
        <v>56</v>
      </c>
      <c r="E431" t="s">
        <v>57</v>
      </c>
      <c r="F431" s="1">
        <v>44950</v>
      </c>
      <c r="G431" t="s">
        <v>1356</v>
      </c>
      <c r="H431" t="s">
        <v>1357</v>
      </c>
      <c r="I431" t="s">
        <v>39</v>
      </c>
      <c r="J431">
        <v>44393.18</v>
      </c>
      <c r="K431">
        <v>169</v>
      </c>
      <c r="L431" t="s">
        <v>60</v>
      </c>
      <c r="M431" s="1">
        <v>44958</v>
      </c>
      <c r="N431" t="s">
        <v>52</v>
      </c>
      <c r="O431" t="s">
        <v>42</v>
      </c>
      <c r="P431">
        <v>8</v>
      </c>
      <c r="Q431" t="s">
        <v>53</v>
      </c>
      <c r="R431" t="s">
        <v>44</v>
      </c>
      <c r="S431">
        <v>1</v>
      </c>
      <c r="T431">
        <v>2023</v>
      </c>
      <c r="U431" t="s">
        <v>33</v>
      </c>
    </row>
    <row r="432" spans="1:21" x14ac:dyDescent="0.3">
      <c r="A432" t="s">
        <v>1358</v>
      </c>
      <c r="B432">
        <v>56</v>
      </c>
      <c r="C432" t="s">
        <v>22</v>
      </c>
      <c r="D432" t="s">
        <v>64</v>
      </c>
      <c r="E432" t="s">
        <v>57</v>
      </c>
      <c r="F432" s="1">
        <v>43674</v>
      </c>
      <c r="G432" t="s">
        <v>1359</v>
      </c>
      <c r="H432" t="s">
        <v>1360</v>
      </c>
      <c r="I432" t="s">
        <v>27</v>
      </c>
      <c r="J432">
        <v>16578.91</v>
      </c>
      <c r="K432">
        <v>282</v>
      </c>
      <c r="L432" t="s">
        <v>28</v>
      </c>
      <c r="M432" s="1">
        <v>43703</v>
      </c>
      <c r="N432" t="s">
        <v>67</v>
      </c>
      <c r="O432" t="s">
        <v>42</v>
      </c>
      <c r="P432">
        <v>29</v>
      </c>
      <c r="Q432" t="s">
        <v>43</v>
      </c>
      <c r="R432" t="s">
        <v>32</v>
      </c>
      <c r="S432">
        <v>7</v>
      </c>
      <c r="T432">
        <v>2019</v>
      </c>
      <c r="U432" t="s">
        <v>86</v>
      </c>
    </row>
    <row r="433" spans="1:21" x14ac:dyDescent="0.3">
      <c r="A433" t="s">
        <v>1361</v>
      </c>
      <c r="B433">
        <v>77</v>
      </c>
      <c r="C433" t="s">
        <v>22</v>
      </c>
      <c r="D433" t="s">
        <v>76</v>
      </c>
      <c r="E433" t="s">
        <v>115</v>
      </c>
      <c r="F433" s="1">
        <v>44760</v>
      </c>
      <c r="G433" t="s">
        <v>1362</v>
      </c>
      <c r="H433" t="s">
        <v>1363</v>
      </c>
      <c r="I433" t="s">
        <v>39</v>
      </c>
      <c r="J433">
        <v>33749.86</v>
      </c>
      <c r="K433">
        <v>112</v>
      </c>
      <c r="L433" t="s">
        <v>40</v>
      </c>
      <c r="M433" s="1">
        <v>44780</v>
      </c>
      <c r="N433" t="s">
        <v>29</v>
      </c>
      <c r="O433" t="s">
        <v>61</v>
      </c>
      <c r="P433">
        <v>20</v>
      </c>
      <c r="Q433" t="s">
        <v>53</v>
      </c>
      <c r="R433" t="s">
        <v>44</v>
      </c>
      <c r="S433">
        <v>7</v>
      </c>
      <c r="T433">
        <v>2022</v>
      </c>
      <c r="U433" t="s">
        <v>86</v>
      </c>
    </row>
    <row r="434" spans="1:21" x14ac:dyDescent="0.3">
      <c r="A434" t="s">
        <v>1364</v>
      </c>
      <c r="B434">
        <v>61</v>
      </c>
      <c r="C434" t="s">
        <v>47</v>
      </c>
      <c r="D434" t="s">
        <v>35</v>
      </c>
      <c r="E434" t="s">
        <v>70</v>
      </c>
      <c r="F434" s="1">
        <v>43989</v>
      </c>
      <c r="G434" t="s">
        <v>1365</v>
      </c>
      <c r="H434" t="s">
        <v>1366</v>
      </c>
      <c r="I434" t="s">
        <v>73</v>
      </c>
      <c r="J434">
        <v>3903.76</v>
      </c>
      <c r="K434">
        <v>301</v>
      </c>
      <c r="L434" t="s">
        <v>28</v>
      </c>
      <c r="M434" s="1">
        <v>44013</v>
      </c>
      <c r="N434" t="s">
        <v>67</v>
      </c>
      <c r="O434" t="s">
        <v>61</v>
      </c>
      <c r="P434">
        <v>24</v>
      </c>
      <c r="Q434" t="s">
        <v>43</v>
      </c>
      <c r="R434" t="s">
        <v>100</v>
      </c>
      <c r="S434">
        <v>6</v>
      </c>
      <c r="T434">
        <v>2020</v>
      </c>
      <c r="U434" t="s">
        <v>118</v>
      </c>
    </row>
    <row r="435" spans="1:21" x14ac:dyDescent="0.3">
      <c r="A435" t="s">
        <v>1367</v>
      </c>
      <c r="B435">
        <v>40</v>
      </c>
      <c r="C435" t="s">
        <v>47</v>
      </c>
      <c r="D435" t="s">
        <v>23</v>
      </c>
      <c r="E435" t="s">
        <v>24</v>
      </c>
      <c r="F435" s="1">
        <v>44172</v>
      </c>
      <c r="G435" t="s">
        <v>1368</v>
      </c>
      <c r="H435" t="s">
        <v>1369</v>
      </c>
      <c r="I435" t="s">
        <v>39</v>
      </c>
      <c r="J435">
        <v>22720.33</v>
      </c>
      <c r="K435">
        <v>463</v>
      </c>
      <c r="L435" t="s">
        <v>40</v>
      </c>
      <c r="M435" s="1">
        <v>44185</v>
      </c>
      <c r="N435" t="s">
        <v>99</v>
      </c>
      <c r="O435" t="s">
        <v>61</v>
      </c>
      <c r="P435">
        <v>13</v>
      </c>
      <c r="Q435" t="s">
        <v>68</v>
      </c>
      <c r="R435" t="s">
        <v>32</v>
      </c>
      <c r="S435">
        <v>12</v>
      </c>
      <c r="T435">
        <v>2020</v>
      </c>
      <c r="U435" t="s">
        <v>74</v>
      </c>
    </row>
    <row r="436" spans="1:21" x14ac:dyDescent="0.3">
      <c r="A436" t="s">
        <v>1370</v>
      </c>
      <c r="B436">
        <v>80</v>
      </c>
      <c r="C436" t="s">
        <v>22</v>
      </c>
      <c r="D436" t="s">
        <v>76</v>
      </c>
      <c r="E436" t="s">
        <v>57</v>
      </c>
      <c r="F436" s="1">
        <v>43931</v>
      </c>
      <c r="G436" t="s">
        <v>1371</v>
      </c>
      <c r="H436" t="s">
        <v>1372</v>
      </c>
      <c r="I436" t="s">
        <v>39</v>
      </c>
      <c r="J436">
        <v>35411.47</v>
      </c>
      <c r="K436">
        <v>282</v>
      </c>
      <c r="L436" t="s">
        <v>60</v>
      </c>
      <c r="M436" s="1">
        <v>43951</v>
      </c>
      <c r="N436" t="s">
        <v>29</v>
      </c>
      <c r="O436" t="s">
        <v>61</v>
      </c>
      <c r="P436">
        <v>20</v>
      </c>
      <c r="Q436" t="s">
        <v>53</v>
      </c>
      <c r="R436" t="s">
        <v>44</v>
      </c>
      <c r="S436">
        <v>4</v>
      </c>
      <c r="T436">
        <v>2020</v>
      </c>
      <c r="U436" t="s">
        <v>94</v>
      </c>
    </row>
    <row r="437" spans="1:21" x14ac:dyDescent="0.3">
      <c r="A437" t="s">
        <v>1373</v>
      </c>
      <c r="B437">
        <v>35</v>
      </c>
      <c r="C437" t="s">
        <v>22</v>
      </c>
      <c r="D437" t="s">
        <v>48</v>
      </c>
      <c r="E437" t="s">
        <v>96</v>
      </c>
      <c r="F437" s="1">
        <v>45119</v>
      </c>
      <c r="G437" t="s">
        <v>1374</v>
      </c>
      <c r="H437" t="s">
        <v>1375</v>
      </c>
      <c r="I437" t="s">
        <v>39</v>
      </c>
      <c r="J437">
        <v>27342.23</v>
      </c>
      <c r="K437">
        <v>279</v>
      </c>
      <c r="L437" t="s">
        <v>28</v>
      </c>
      <c r="M437" s="1">
        <v>45129</v>
      </c>
      <c r="N437" t="s">
        <v>52</v>
      </c>
      <c r="O437" t="s">
        <v>30</v>
      </c>
      <c r="P437">
        <v>10</v>
      </c>
      <c r="Q437" t="s">
        <v>31</v>
      </c>
      <c r="R437" t="s">
        <v>32</v>
      </c>
      <c r="S437">
        <v>7</v>
      </c>
      <c r="T437">
        <v>2023</v>
      </c>
      <c r="U437" t="s">
        <v>86</v>
      </c>
    </row>
    <row r="438" spans="1:21" x14ac:dyDescent="0.3">
      <c r="A438" t="s">
        <v>1376</v>
      </c>
      <c r="B438">
        <v>85</v>
      </c>
      <c r="C438" t="s">
        <v>47</v>
      </c>
      <c r="D438" t="s">
        <v>35</v>
      </c>
      <c r="E438" t="s">
        <v>24</v>
      </c>
      <c r="F438" s="1">
        <v>44814</v>
      </c>
      <c r="G438" t="s">
        <v>1377</v>
      </c>
      <c r="H438" t="s">
        <v>728</v>
      </c>
      <c r="I438" t="s">
        <v>27</v>
      </c>
      <c r="J438">
        <v>27971.279999999999</v>
      </c>
      <c r="K438">
        <v>120</v>
      </c>
      <c r="L438" t="s">
        <v>40</v>
      </c>
      <c r="M438" s="1">
        <v>44818</v>
      </c>
      <c r="N438" t="s">
        <v>99</v>
      </c>
      <c r="O438" t="s">
        <v>61</v>
      </c>
      <c r="P438">
        <v>4</v>
      </c>
      <c r="Q438" t="s">
        <v>53</v>
      </c>
      <c r="R438" t="s">
        <v>32</v>
      </c>
      <c r="S438">
        <v>9</v>
      </c>
      <c r="T438">
        <v>2022</v>
      </c>
      <c r="U438" t="s">
        <v>54</v>
      </c>
    </row>
    <row r="439" spans="1:21" x14ac:dyDescent="0.3">
      <c r="A439" t="s">
        <v>1378</v>
      </c>
      <c r="B439">
        <v>64</v>
      </c>
      <c r="C439" t="s">
        <v>22</v>
      </c>
      <c r="D439" t="s">
        <v>76</v>
      </c>
      <c r="E439" t="s">
        <v>96</v>
      </c>
      <c r="F439" s="1">
        <v>44301</v>
      </c>
      <c r="G439" t="s">
        <v>1379</v>
      </c>
      <c r="H439" t="s">
        <v>1380</v>
      </c>
      <c r="I439" t="s">
        <v>82</v>
      </c>
      <c r="J439">
        <v>26894.07</v>
      </c>
      <c r="K439">
        <v>208</v>
      </c>
      <c r="L439" t="s">
        <v>40</v>
      </c>
      <c r="M439" s="1">
        <v>44323</v>
      </c>
      <c r="N439" t="s">
        <v>52</v>
      </c>
      <c r="O439" t="s">
        <v>30</v>
      </c>
      <c r="P439">
        <v>22</v>
      </c>
      <c r="Q439" t="s">
        <v>43</v>
      </c>
      <c r="R439" t="s">
        <v>32</v>
      </c>
      <c r="S439">
        <v>4</v>
      </c>
      <c r="T439">
        <v>2021</v>
      </c>
      <c r="U439" t="s">
        <v>94</v>
      </c>
    </row>
    <row r="440" spans="1:21" x14ac:dyDescent="0.3">
      <c r="A440" t="s">
        <v>1381</v>
      </c>
      <c r="B440">
        <v>30</v>
      </c>
      <c r="C440" t="s">
        <v>47</v>
      </c>
      <c r="D440" t="s">
        <v>149</v>
      </c>
      <c r="E440" t="s">
        <v>24</v>
      </c>
      <c r="F440" s="1">
        <v>44063</v>
      </c>
      <c r="G440" t="s">
        <v>1382</v>
      </c>
      <c r="H440" t="s">
        <v>1383</v>
      </c>
      <c r="I440" t="s">
        <v>39</v>
      </c>
      <c r="J440">
        <v>36551.050000000003</v>
      </c>
      <c r="K440">
        <v>111</v>
      </c>
      <c r="L440" t="s">
        <v>40</v>
      </c>
      <c r="M440" s="1">
        <v>44066</v>
      </c>
      <c r="N440" t="s">
        <v>41</v>
      </c>
      <c r="O440" t="s">
        <v>61</v>
      </c>
      <c r="P440">
        <v>3</v>
      </c>
      <c r="Q440" t="s">
        <v>31</v>
      </c>
      <c r="R440" t="s">
        <v>44</v>
      </c>
      <c r="S440">
        <v>8</v>
      </c>
      <c r="T440">
        <v>2020</v>
      </c>
      <c r="U440" t="s">
        <v>45</v>
      </c>
    </row>
    <row r="441" spans="1:21" x14ac:dyDescent="0.3">
      <c r="A441" t="s">
        <v>1384</v>
      </c>
      <c r="B441">
        <v>19</v>
      </c>
      <c r="C441" t="s">
        <v>47</v>
      </c>
      <c r="D441" t="s">
        <v>35</v>
      </c>
      <c r="E441" t="s">
        <v>115</v>
      </c>
      <c r="F441" s="1">
        <v>44057</v>
      </c>
      <c r="G441" t="s">
        <v>1385</v>
      </c>
      <c r="H441" t="s">
        <v>1386</v>
      </c>
      <c r="I441" t="s">
        <v>39</v>
      </c>
      <c r="J441">
        <v>10693.39</v>
      </c>
      <c r="K441">
        <v>435</v>
      </c>
      <c r="L441" t="s">
        <v>60</v>
      </c>
      <c r="M441" s="1">
        <v>44071</v>
      </c>
      <c r="N441" t="s">
        <v>41</v>
      </c>
      <c r="O441" t="s">
        <v>61</v>
      </c>
      <c r="P441">
        <v>14</v>
      </c>
      <c r="Q441" t="s">
        <v>31</v>
      </c>
      <c r="R441" t="s">
        <v>32</v>
      </c>
      <c r="S441">
        <v>8</v>
      </c>
      <c r="T441">
        <v>2020</v>
      </c>
      <c r="U441" t="s">
        <v>45</v>
      </c>
    </row>
    <row r="442" spans="1:21" x14ac:dyDescent="0.3">
      <c r="A442" t="s">
        <v>1387</v>
      </c>
      <c r="B442">
        <v>64</v>
      </c>
      <c r="C442" t="s">
        <v>22</v>
      </c>
      <c r="D442" t="s">
        <v>35</v>
      </c>
      <c r="E442" t="s">
        <v>57</v>
      </c>
      <c r="F442" s="1">
        <v>44394</v>
      </c>
      <c r="G442" t="s">
        <v>1388</v>
      </c>
      <c r="H442" t="s">
        <v>1389</v>
      </c>
      <c r="I442" t="s">
        <v>73</v>
      </c>
      <c r="J442">
        <v>28835.439999999999</v>
      </c>
      <c r="K442">
        <v>270</v>
      </c>
      <c r="L442" t="s">
        <v>28</v>
      </c>
      <c r="M442" s="1">
        <v>44411</v>
      </c>
      <c r="N442" t="s">
        <v>99</v>
      </c>
      <c r="O442" t="s">
        <v>42</v>
      </c>
      <c r="P442">
        <v>17</v>
      </c>
      <c r="Q442" t="s">
        <v>43</v>
      </c>
      <c r="R442" t="s">
        <v>32</v>
      </c>
      <c r="S442">
        <v>7</v>
      </c>
      <c r="T442">
        <v>2021</v>
      </c>
      <c r="U442" t="s">
        <v>86</v>
      </c>
    </row>
    <row r="443" spans="1:21" x14ac:dyDescent="0.3">
      <c r="A443" t="s">
        <v>1390</v>
      </c>
      <c r="B443">
        <v>44</v>
      </c>
      <c r="C443" t="s">
        <v>22</v>
      </c>
      <c r="D443" t="s">
        <v>127</v>
      </c>
      <c r="E443" t="s">
        <v>57</v>
      </c>
      <c r="F443" s="1">
        <v>44953</v>
      </c>
      <c r="G443" t="s">
        <v>1391</v>
      </c>
      <c r="H443" t="s">
        <v>1392</v>
      </c>
      <c r="I443" t="s">
        <v>39</v>
      </c>
      <c r="J443">
        <v>7083.61</v>
      </c>
      <c r="K443">
        <v>317</v>
      </c>
      <c r="L443" t="s">
        <v>60</v>
      </c>
      <c r="M443" s="1">
        <v>44959</v>
      </c>
      <c r="N443" t="s">
        <v>99</v>
      </c>
      <c r="O443" t="s">
        <v>42</v>
      </c>
      <c r="P443">
        <v>6</v>
      </c>
      <c r="Q443" t="s">
        <v>68</v>
      </c>
      <c r="R443" t="s">
        <v>100</v>
      </c>
      <c r="S443">
        <v>1</v>
      </c>
      <c r="T443">
        <v>2023</v>
      </c>
      <c r="U443" t="s">
        <v>33</v>
      </c>
    </row>
    <row r="444" spans="1:21" x14ac:dyDescent="0.3">
      <c r="A444" t="s">
        <v>1393</v>
      </c>
      <c r="B444">
        <v>66</v>
      </c>
      <c r="C444" t="s">
        <v>47</v>
      </c>
      <c r="D444" t="s">
        <v>149</v>
      </c>
      <c r="E444" t="s">
        <v>70</v>
      </c>
      <c r="F444" s="1">
        <v>44078</v>
      </c>
      <c r="G444" t="s">
        <v>1394</v>
      </c>
      <c r="H444" t="s">
        <v>1395</v>
      </c>
      <c r="I444" t="s">
        <v>39</v>
      </c>
      <c r="J444">
        <v>2068.4299999999998</v>
      </c>
      <c r="K444">
        <v>302</v>
      </c>
      <c r="L444" t="s">
        <v>28</v>
      </c>
      <c r="M444" s="1">
        <v>44094</v>
      </c>
      <c r="N444" t="s">
        <v>67</v>
      </c>
      <c r="O444" t="s">
        <v>42</v>
      </c>
      <c r="P444">
        <v>16</v>
      </c>
      <c r="Q444" t="s">
        <v>43</v>
      </c>
      <c r="R444" t="s">
        <v>100</v>
      </c>
      <c r="S444">
        <v>9</v>
      </c>
      <c r="T444">
        <v>2020</v>
      </c>
      <c r="U444" t="s">
        <v>54</v>
      </c>
    </row>
    <row r="445" spans="1:21" x14ac:dyDescent="0.3">
      <c r="A445" t="s">
        <v>1396</v>
      </c>
      <c r="B445">
        <v>79</v>
      </c>
      <c r="C445" t="s">
        <v>47</v>
      </c>
      <c r="D445" t="s">
        <v>64</v>
      </c>
      <c r="E445" t="s">
        <v>96</v>
      </c>
      <c r="F445" s="1">
        <v>43869</v>
      </c>
      <c r="G445" t="s">
        <v>1397</v>
      </c>
      <c r="H445" t="s">
        <v>1398</v>
      </c>
      <c r="I445" t="s">
        <v>27</v>
      </c>
      <c r="J445">
        <v>42956.13</v>
      </c>
      <c r="K445">
        <v>382</v>
      </c>
      <c r="L445" t="s">
        <v>60</v>
      </c>
      <c r="M445" s="1">
        <v>43882</v>
      </c>
      <c r="N445" t="s">
        <v>52</v>
      </c>
      <c r="O445" t="s">
        <v>30</v>
      </c>
      <c r="P445">
        <v>13</v>
      </c>
      <c r="Q445" t="s">
        <v>53</v>
      </c>
      <c r="R445" t="s">
        <v>44</v>
      </c>
      <c r="S445">
        <v>2</v>
      </c>
      <c r="T445">
        <v>2020</v>
      </c>
      <c r="U445" t="s">
        <v>278</v>
      </c>
    </row>
    <row r="446" spans="1:21" x14ac:dyDescent="0.3">
      <c r="A446" t="s">
        <v>1399</v>
      </c>
      <c r="B446">
        <v>59</v>
      </c>
      <c r="C446" t="s">
        <v>47</v>
      </c>
      <c r="D446" t="s">
        <v>56</v>
      </c>
      <c r="E446" t="s">
        <v>57</v>
      </c>
      <c r="F446" s="1">
        <v>43647</v>
      </c>
      <c r="G446" t="s">
        <v>1400</v>
      </c>
      <c r="H446" t="s">
        <v>1401</v>
      </c>
      <c r="I446" t="s">
        <v>51</v>
      </c>
      <c r="J446">
        <v>17307.37</v>
      </c>
      <c r="K446">
        <v>255</v>
      </c>
      <c r="L446" t="s">
        <v>28</v>
      </c>
      <c r="M446" s="1">
        <v>43651</v>
      </c>
      <c r="N446" t="s">
        <v>67</v>
      </c>
      <c r="O446" t="s">
        <v>61</v>
      </c>
      <c r="P446">
        <v>4</v>
      </c>
      <c r="Q446" t="s">
        <v>43</v>
      </c>
      <c r="R446" t="s">
        <v>32</v>
      </c>
      <c r="S446">
        <v>7</v>
      </c>
      <c r="T446">
        <v>2019</v>
      </c>
      <c r="U446" t="s">
        <v>86</v>
      </c>
    </row>
    <row r="447" spans="1:21" x14ac:dyDescent="0.3">
      <c r="A447" t="s">
        <v>1402</v>
      </c>
      <c r="B447">
        <v>47</v>
      </c>
      <c r="C447" t="s">
        <v>22</v>
      </c>
      <c r="D447" t="s">
        <v>56</v>
      </c>
      <c r="E447" t="s">
        <v>70</v>
      </c>
      <c r="F447" s="1">
        <v>45292</v>
      </c>
      <c r="G447" t="s">
        <v>1403</v>
      </c>
      <c r="H447" t="s">
        <v>1404</v>
      </c>
      <c r="I447" t="s">
        <v>51</v>
      </c>
      <c r="J447">
        <v>41492.129999999997</v>
      </c>
      <c r="K447">
        <v>388</v>
      </c>
      <c r="L447" t="s">
        <v>60</v>
      </c>
      <c r="M447" s="1">
        <v>45303</v>
      </c>
      <c r="N447" t="s">
        <v>52</v>
      </c>
      <c r="O447" t="s">
        <v>30</v>
      </c>
      <c r="P447">
        <v>11</v>
      </c>
      <c r="Q447" t="s">
        <v>68</v>
      </c>
      <c r="R447" t="s">
        <v>44</v>
      </c>
      <c r="S447">
        <v>1</v>
      </c>
      <c r="T447">
        <v>2024</v>
      </c>
      <c r="U447" t="s">
        <v>33</v>
      </c>
    </row>
    <row r="448" spans="1:21" x14ac:dyDescent="0.3">
      <c r="A448" t="s">
        <v>1405</v>
      </c>
      <c r="B448">
        <v>49</v>
      </c>
      <c r="C448" t="s">
        <v>22</v>
      </c>
      <c r="D448" t="s">
        <v>64</v>
      </c>
      <c r="E448" t="s">
        <v>36</v>
      </c>
      <c r="F448" s="1">
        <v>44265</v>
      </c>
      <c r="G448" t="s">
        <v>1406</v>
      </c>
      <c r="H448" t="s">
        <v>1407</v>
      </c>
      <c r="I448" t="s">
        <v>73</v>
      </c>
      <c r="J448">
        <v>16097.76</v>
      </c>
      <c r="K448">
        <v>310</v>
      </c>
      <c r="L448" t="s">
        <v>40</v>
      </c>
      <c r="M448" s="1">
        <v>44293</v>
      </c>
      <c r="N448" t="s">
        <v>29</v>
      </c>
      <c r="O448" t="s">
        <v>30</v>
      </c>
      <c r="P448">
        <v>28</v>
      </c>
      <c r="Q448" t="s">
        <v>68</v>
      </c>
      <c r="R448" t="s">
        <v>32</v>
      </c>
      <c r="S448">
        <v>3</v>
      </c>
      <c r="T448">
        <v>2021</v>
      </c>
      <c r="U448" t="s">
        <v>122</v>
      </c>
    </row>
    <row r="449" spans="1:21" x14ac:dyDescent="0.3">
      <c r="A449" t="s">
        <v>1408</v>
      </c>
      <c r="B449">
        <v>35</v>
      </c>
      <c r="C449" t="s">
        <v>22</v>
      </c>
      <c r="D449" t="s">
        <v>64</v>
      </c>
      <c r="E449" t="s">
        <v>24</v>
      </c>
      <c r="F449" s="1">
        <v>43727</v>
      </c>
      <c r="G449" t="s">
        <v>1409</v>
      </c>
      <c r="H449" t="s">
        <v>1410</v>
      </c>
      <c r="I449" t="s">
        <v>27</v>
      </c>
      <c r="J449">
        <v>44495.73</v>
      </c>
      <c r="K449">
        <v>469</v>
      </c>
      <c r="L449" t="s">
        <v>60</v>
      </c>
      <c r="M449" s="1">
        <v>43754</v>
      </c>
      <c r="N449" t="s">
        <v>29</v>
      </c>
      <c r="O449" t="s">
        <v>42</v>
      </c>
      <c r="P449">
        <v>27</v>
      </c>
      <c r="Q449" t="s">
        <v>31</v>
      </c>
      <c r="R449" t="s">
        <v>44</v>
      </c>
      <c r="S449">
        <v>9</v>
      </c>
      <c r="T449">
        <v>2019</v>
      </c>
      <c r="U449" t="s">
        <v>54</v>
      </c>
    </row>
    <row r="450" spans="1:21" x14ac:dyDescent="0.3">
      <c r="A450" t="s">
        <v>1411</v>
      </c>
      <c r="B450">
        <v>69</v>
      </c>
      <c r="C450" t="s">
        <v>47</v>
      </c>
      <c r="D450" t="s">
        <v>127</v>
      </c>
      <c r="E450" t="s">
        <v>36</v>
      </c>
      <c r="F450" s="1">
        <v>44981</v>
      </c>
      <c r="G450" t="s">
        <v>1412</v>
      </c>
      <c r="H450" t="s">
        <v>1413</v>
      </c>
      <c r="I450" t="s">
        <v>27</v>
      </c>
      <c r="J450">
        <v>2936.89</v>
      </c>
      <c r="K450">
        <v>223</v>
      </c>
      <c r="L450" t="s">
        <v>40</v>
      </c>
      <c r="M450" s="1">
        <v>44982</v>
      </c>
      <c r="N450" t="s">
        <v>52</v>
      </c>
      <c r="O450" t="s">
        <v>61</v>
      </c>
      <c r="P450">
        <v>1</v>
      </c>
      <c r="Q450" t="s">
        <v>43</v>
      </c>
      <c r="R450" t="s">
        <v>100</v>
      </c>
      <c r="S450">
        <v>2</v>
      </c>
      <c r="T450">
        <v>2023</v>
      </c>
      <c r="U450" t="s">
        <v>278</v>
      </c>
    </row>
    <row r="451" spans="1:21" x14ac:dyDescent="0.3">
      <c r="A451" t="s">
        <v>1414</v>
      </c>
      <c r="B451">
        <v>57</v>
      </c>
      <c r="C451" t="s">
        <v>22</v>
      </c>
      <c r="D451" t="s">
        <v>56</v>
      </c>
      <c r="E451" t="s">
        <v>36</v>
      </c>
      <c r="F451" s="1">
        <v>44650</v>
      </c>
      <c r="G451" t="s">
        <v>1415</v>
      </c>
      <c r="H451" t="s">
        <v>1416</v>
      </c>
      <c r="I451" t="s">
        <v>73</v>
      </c>
      <c r="J451">
        <v>43374.01</v>
      </c>
      <c r="K451">
        <v>232</v>
      </c>
      <c r="L451" t="s">
        <v>40</v>
      </c>
      <c r="M451" s="1">
        <v>44665</v>
      </c>
      <c r="N451" t="s">
        <v>99</v>
      </c>
      <c r="O451" t="s">
        <v>42</v>
      </c>
      <c r="P451">
        <v>15</v>
      </c>
      <c r="Q451" t="s">
        <v>43</v>
      </c>
      <c r="R451" t="s">
        <v>44</v>
      </c>
      <c r="S451">
        <v>3</v>
      </c>
      <c r="T451">
        <v>2022</v>
      </c>
      <c r="U451" t="s">
        <v>122</v>
      </c>
    </row>
    <row r="452" spans="1:21" x14ac:dyDescent="0.3">
      <c r="A452" t="s">
        <v>1417</v>
      </c>
      <c r="B452">
        <v>51</v>
      </c>
      <c r="C452" t="s">
        <v>47</v>
      </c>
      <c r="D452" t="s">
        <v>35</v>
      </c>
      <c r="E452" t="s">
        <v>70</v>
      </c>
      <c r="F452" s="1">
        <v>43707</v>
      </c>
      <c r="G452" t="s">
        <v>1418</v>
      </c>
      <c r="H452" t="s">
        <v>1419</v>
      </c>
      <c r="I452" t="s">
        <v>51</v>
      </c>
      <c r="J452">
        <v>6949.88</v>
      </c>
      <c r="K452">
        <v>366</v>
      </c>
      <c r="L452" t="s">
        <v>28</v>
      </c>
      <c r="M452" s="1">
        <v>43725</v>
      </c>
      <c r="N452" t="s">
        <v>29</v>
      </c>
      <c r="O452" t="s">
        <v>42</v>
      </c>
      <c r="P452">
        <v>18</v>
      </c>
      <c r="Q452" t="s">
        <v>68</v>
      </c>
      <c r="R452" t="s">
        <v>100</v>
      </c>
      <c r="S452">
        <v>8</v>
      </c>
      <c r="T452">
        <v>2019</v>
      </c>
      <c r="U452" t="s">
        <v>45</v>
      </c>
    </row>
    <row r="453" spans="1:21" x14ac:dyDescent="0.3">
      <c r="A453" t="s">
        <v>1420</v>
      </c>
      <c r="B453">
        <v>31</v>
      </c>
      <c r="C453" t="s">
        <v>47</v>
      </c>
      <c r="D453" t="s">
        <v>56</v>
      </c>
      <c r="E453" t="s">
        <v>115</v>
      </c>
      <c r="F453" s="1">
        <v>43820</v>
      </c>
      <c r="G453" t="s">
        <v>1421</v>
      </c>
      <c r="H453" t="s">
        <v>1422</v>
      </c>
      <c r="I453" t="s">
        <v>27</v>
      </c>
      <c r="J453">
        <v>15449.06</v>
      </c>
      <c r="K453">
        <v>384</v>
      </c>
      <c r="L453" t="s">
        <v>60</v>
      </c>
      <c r="M453" s="1">
        <v>43830</v>
      </c>
      <c r="N453" t="s">
        <v>99</v>
      </c>
      <c r="O453" t="s">
        <v>61</v>
      </c>
      <c r="P453">
        <v>10</v>
      </c>
      <c r="Q453" t="s">
        <v>31</v>
      </c>
      <c r="R453" t="s">
        <v>32</v>
      </c>
      <c r="S453">
        <v>12</v>
      </c>
      <c r="T453">
        <v>2019</v>
      </c>
      <c r="U453" t="s">
        <v>74</v>
      </c>
    </row>
    <row r="454" spans="1:21" x14ac:dyDescent="0.3">
      <c r="A454" t="s">
        <v>1423</v>
      </c>
      <c r="B454">
        <v>34</v>
      </c>
      <c r="C454" t="s">
        <v>47</v>
      </c>
      <c r="D454" t="s">
        <v>48</v>
      </c>
      <c r="E454" t="s">
        <v>36</v>
      </c>
      <c r="F454" s="1">
        <v>43708</v>
      </c>
      <c r="G454" t="s">
        <v>1424</v>
      </c>
      <c r="H454" t="s">
        <v>1425</v>
      </c>
      <c r="I454" t="s">
        <v>27</v>
      </c>
      <c r="J454">
        <v>37458.160000000003</v>
      </c>
      <c r="K454">
        <v>184</v>
      </c>
      <c r="L454" t="s">
        <v>60</v>
      </c>
      <c r="M454" s="1">
        <v>43736</v>
      </c>
      <c r="N454" t="s">
        <v>29</v>
      </c>
      <c r="O454" t="s">
        <v>61</v>
      </c>
      <c r="P454">
        <v>28</v>
      </c>
      <c r="Q454" t="s">
        <v>31</v>
      </c>
      <c r="R454" t="s">
        <v>44</v>
      </c>
      <c r="S454">
        <v>8</v>
      </c>
      <c r="T454">
        <v>2019</v>
      </c>
      <c r="U454" t="s">
        <v>45</v>
      </c>
    </row>
    <row r="455" spans="1:21" x14ac:dyDescent="0.3">
      <c r="A455" t="s">
        <v>1426</v>
      </c>
      <c r="B455">
        <v>57</v>
      </c>
      <c r="C455" t="s">
        <v>22</v>
      </c>
      <c r="D455" t="s">
        <v>56</v>
      </c>
      <c r="E455" t="s">
        <v>24</v>
      </c>
      <c r="F455" s="1">
        <v>44650</v>
      </c>
      <c r="G455" t="s">
        <v>1427</v>
      </c>
      <c r="H455" t="s">
        <v>1428</v>
      </c>
      <c r="I455" t="s">
        <v>39</v>
      </c>
      <c r="J455">
        <v>5919.3</v>
      </c>
      <c r="K455">
        <v>455</v>
      </c>
      <c r="L455" t="s">
        <v>60</v>
      </c>
      <c r="M455" s="1">
        <v>44662</v>
      </c>
      <c r="N455" t="s">
        <v>41</v>
      </c>
      <c r="O455" t="s">
        <v>30</v>
      </c>
      <c r="P455">
        <v>12</v>
      </c>
      <c r="Q455" t="s">
        <v>43</v>
      </c>
      <c r="R455" t="s">
        <v>100</v>
      </c>
      <c r="S455">
        <v>3</v>
      </c>
      <c r="T455">
        <v>2022</v>
      </c>
      <c r="U455" t="s">
        <v>122</v>
      </c>
    </row>
    <row r="456" spans="1:21" x14ac:dyDescent="0.3">
      <c r="A456" t="s">
        <v>1429</v>
      </c>
      <c r="B456">
        <v>51</v>
      </c>
      <c r="C456" t="s">
        <v>47</v>
      </c>
      <c r="D456" t="s">
        <v>56</v>
      </c>
      <c r="E456" t="s">
        <v>115</v>
      </c>
      <c r="F456" s="1">
        <v>45149</v>
      </c>
      <c r="G456" t="s">
        <v>1430</v>
      </c>
      <c r="H456" t="s">
        <v>1431</v>
      </c>
      <c r="I456" t="s">
        <v>82</v>
      </c>
      <c r="J456">
        <v>21534.720000000001</v>
      </c>
      <c r="K456">
        <v>198</v>
      </c>
      <c r="L456" t="s">
        <v>40</v>
      </c>
      <c r="M456" s="1">
        <v>45158</v>
      </c>
      <c r="N456" t="s">
        <v>67</v>
      </c>
      <c r="O456" t="s">
        <v>30</v>
      </c>
      <c r="P456">
        <v>9</v>
      </c>
      <c r="Q456" t="s">
        <v>68</v>
      </c>
      <c r="R456" t="s">
        <v>32</v>
      </c>
      <c r="S456">
        <v>8</v>
      </c>
      <c r="T456">
        <v>2023</v>
      </c>
      <c r="U456" t="s">
        <v>45</v>
      </c>
    </row>
    <row r="457" spans="1:21" x14ac:dyDescent="0.3">
      <c r="A457" t="s">
        <v>1432</v>
      </c>
      <c r="B457">
        <v>85</v>
      </c>
      <c r="C457" t="s">
        <v>22</v>
      </c>
      <c r="D457" t="s">
        <v>127</v>
      </c>
      <c r="E457" t="s">
        <v>70</v>
      </c>
      <c r="F457" s="1">
        <v>44498</v>
      </c>
      <c r="G457" t="s">
        <v>1433</v>
      </c>
      <c r="H457" t="s">
        <v>1434</v>
      </c>
      <c r="I457" t="s">
        <v>82</v>
      </c>
      <c r="J457">
        <v>43393.919999999998</v>
      </c>
      <c r="K457">
        <v>123</v>
      </c>
      <c r="L457" t="s">
        <v>60</v>
      </c>
      <c r="M457" s="1">
        <v>44525</v>
      </c>
      <c r="N457" t="s">
        <v>67</v>
      </c>
      <c r="O457" t="s">
        <v>42</v>
      </c>
      <c r="P457">
        <v>27</v>
      </c>
      <c r="Q457" t="s">
        <v>53</v>
      </c>
      <c r="R457" t="s">
        <v>44</v>
      </c>
      <c r="S457">
        <v>10</v>
      </c>
      <c r="T457">
        <v>2021</v>
      </c>
      <c r="U457" t="s">
        <v>110</v>
      </c>
    </row>
    <row r="458" spans="1:21" x14ac:dyDescent="0.3">
      <c r="A458" t="s">
        <v>1435</v>
      </c>
      <c r="B458">
        <v>51</v>
      </c>
      <c r="C458" t="s">
        <v>22</v>
      </c>
      <c r="D458" t="s">
        <v>48</v>
      </c>
      <c r="E458" t="s">
        <v>24</v>
      </c>
      <c r="F458" s="1">
        <v>44092</v>
      </c>
      <c r="G458" t="s">
        <v>1436</v>
      </c>
      <c r="H458" t="s">
        <v>1437</v>
      </c>
      <c r="I458" t="s">
        <v>39</v>
      </c>
      <c r="J458">
        <v>50332.93</v>
      </c>
      <c r="K458">
        <v>394</v>
      </c>
      <c r="L458" t="s">
        <v>40</v>
      </c>
      <c r="M458" s="1">
        <v>44116</v>
      </c>
      <c r="N458" t="s">
        <v>52</v>
      </c>
      <c r="O458" t="s">
        <v>61</v>
      </c>
      <c r="P458">
        <v>24</v>
      </c>
      <c r="Q458" t="s">
        <v>68</v>
      </c>
      <c r="R458" t="s">
        <v>44</v>
      </c>
      <c r="S458">
        <v>9</v>
      </c>
      <c r="T458">
        <v>2020</v>
      </c>
      <c r="U458" t="s">
        <v>54</v>
      </c>
    </row>
    <row r="459" spans="1:21" x14ac:dyDescent="0.3">
      <c r="A459" t="s">
        <v>1438</v>
      </c>
      <c r="B459">
        <v>39</v>
      </c>
      <c r="C459" t="s">
        <v>22</v>
      </c>
      <c r="D459" t="s">
        <v>64</v>
      </c>
      <c r="E459" t="s">
        <v>24</v>
      </c>
      <c r="F459" s="1">
        <v>44251</v>
      </c>
      <c r="G459" t="s">
        <v>1439</v>
      </c>
      <c r="H459" t="s">
        <v>1440</v>
      </c>
      <c r="I459" t="s">
        <v>51</v>
      </c>
      <c r="J459">
        <v>18062.599999999999</v>
      </c>
      <c r="K459">
        <v>140</v>
      </c>
      <c r="L459" t="s">
        <v>28</v>
      </c>
      <c r="M459" s="1">
        <v>44272</v>
      </c>
      <c r="N459" t="s">
        <v>29</v>
      </c>
      <c r="O459" t="s">
        <v>42</v>
      </c>
      <c r="P459">
        <v>21</v>
      </c>
      <c r="Q459" t="s">
        <v>68</v>
      </c>
      <c r="R459" t="s">
        <v>32</v>
      </c>
      <c r="S459">
        <v>2</v>
      </c>
      <c r="T459">
        <v>2021</v>
      </c>
      <c r="U459" t="s">
        <v>278</v>
      </c>
    </row>
    <row r="460" spans="1:21" x14ac:dyDescent="0.3">
      <c r="A460" t="s">
        <v>1441</v>
      </c>
      <c r="B460">
        <v>75</v>
      </c>
      <c r="C460" t="s">
        <v>22</v>
      </c>
      <c r="D460" t="s">
        <v>76</v>
      </c>
      <c r="E460" t="s">
        <v>96</v>
      </c>
      <c r="F460" s="1">
        <v>45114</v>
      </c>
      <c r="G460" t="s">
        <v>1442</v>
      </c>
      <c r="H460" t="s">
        <v>1443</v>
      </c>
      <c r="I460" t="s">
        <v>73</v>
      </c>
      <c r="J460">
        <v>30064.18</v>
      </c>
      <c r="K460">
        <v>110</v>
      </c>
      <c r="L460" t="s">
        <v>28</v>
      </c>
      <c r="M460" s="1">
        <v>45120</v>
      </c>
      <c r="N460" t="s">
        <v>29</v>
      </c>
      <c r="O460" t="s">
        <v>30</v>
      </c>
      <c r="P460">
        <v>6</v>
      </c>
      <c r="Q460" t="s">
        <v>53</v>
      </c>
      <c r="R460" t="s">
        <v>44</v>
      </c>
      <c r="S460">
        <v>7</v>
      </c>
      <c r="T460">
        <v>2023</v>
      </c>
      <c r="U460" t="s">
        <v>86</v>
      </c>
    </row>
    <row r="461" spans="1:21" x14ac:dyDescent="0.3">
      <c r="A461" t="s">
        <v>1444</v>
      </c>
      <c r="B461">
        <v>46</v>
      </c>
      <c r="C461" t="s">
        <v>47</v>
      </c>
      <c r="D461" t="s">
        <v>56</v>
      </c>
      <c r="E461" t="s">
        <v>96</v>
      </c>
      <c r="F461" s="1">
        <v>45103</v>
      </c>
      <c r="G461" t="s">
        <v>1445</v>
      </c>
      <c r="H461" t="s">
        <v>1446</v>
      </c>
      <c r="I461" t="s">
        <v>27</v>
      </c>
      <c r="J461">
        <v>45440.79</v>
      </c>
      <c r="K461">
        <v>462</v>
      </c>
      <c r="L461" t="s">
        <v>60</v>
      </c>
      <c r="M461" s="1">
        <v>45130</v>
      </c>
      <c r="N461" t="s">
        <v>41</v>
      </c>
      <c r="O461" t="s">
        <v>42</v>
      </c>
      <c r="P461">
        <v>27</v>
      </c>
      <c r="Q461" t="s">
        <v>68</v>
      </c>
      <c r="R461" t="s">
        <v>44</v>
      </c>
      <c r="S461">
        <v>6</v>
      </c>
      <c r="T461">
        <v>2023</v>
      </c>
      <c r="U461" t="s">
        <v>118</v>
      </c>
    </row>
    <row r="462" spans="1:21" x14ac:dyDescent="0.3">
      <c r="A462" t="s">
        <v>1447</v>
      </c>
      <c r="B462">
        <v>47</v>
      </c>
      <c r="C462" t="s">
        <v>22</v>
      </c>
      <c r="D462" t="s">
        <v>149</v>
      </c>
      <c r="E462" t="s">
        <v>36</v>
      </c>
      <c r="F462" s="1">
        <v>44512</v>
      </c>
      <c r="G462" t="s">
        <v>1448</v>
      </c>
      <c r="H462" t="s">
        <v>1449</v>
      </c>
      <c r="I462" t="s">
        <v>51</v>
      </c>
      <c r="J462">
        <v>12073.07</v>
      </c>
      <c r="K462">
        <v>400</v>
      </c>
      <c r="L462" t="s">
        <v>28</v>
      </c>
      <c r="M462" s="1">
        <v>44534</v>
      </c>
      <c r="N462" t="s">
        <v>29</v>
      </c>
      <c r="O462" t="s">
        <v>30</v>
      </c>
      <c r="P462">
        <v>22</v>
      </c>
      <c r="Q462" t="s">
        <v>68</v>
      </c>
      <c r="R462" t="s">
        <v>32</v>
      </c>
      <c r="S462">
        <v>11</v>
      </c>
      <c r="T462">
        <v>2021</v>
      </c>
      <c r="U462" t="s">
        <v>62</v>
      </c>
    </row>
    <row r="463" spans="1:21" x14ac:dyDescent="0.3">
      <c r="A463" t="s">
        <v>1450</v>
      </c>
      <c r="B463">
        <v>38</v>
      </c>
      <c r="C463" t="s">
        <v>47</v>
      </c>
      <c r="D463" t="s">
        <v>56</v>
      </c>
      <c r="E463" t="s">
        <v>115</v>
      </c>
      <c r="F463" s="1">
        <v>44492</v>
      </c>
      <c r="G463" t="s">
        <v>1451</v>
      </c>
      <c r="H463" t="s">
        <v>1452</v>
      </c>
      <c r="I463" t="s">
        <v>73</v>
      </c>
      <c r="J463">
        <v>48065.46</v>
      </c>
      <c r="K463">
        <v>147</v>
      </c>
      <c r="L463" t="s">
        <v>28</v>
      </c>
      <c r="M463" s="1">
        <v>44508</v>
      </c>
      <c r="N463" t="s">
        <v>29</v>
      </c>
      <c r="O463" t="s">
        <v>61</v>
      </c>
      <c r="P463">
        <v>16</v>
      </c>
      <c r="Q463" t="s">
        <v>68</v>
      </c>
      <c r="R463" t="s">
        <v>44</v>
      </c>
      <c r="S463">
        <v>10</v>
      </c>
      <c r="T463">
        <v>2021</v>
      </c>
      <c r="U463" t="s">
        <v>110</v>
      </c>
    </row>
    <row r="464" spans="1:21" x14ac:dyDescent="0.3">
      <c r="A464" t="s">
        <v>1453</v>
      </c>
      <c r="B464">
        <v>25</v>
      </c>
      <c r="C464" t="s">
        <v>47</v>
      </c>
      <c r="D464" t="s">
        <v>56</v>
      </c>
      <c r="E464" t="s">
        <v>115</v>
      </c>
      <c r="F464" s="1">
        <v>43799</v>
      </c>
      <c r="G464" t="s">
        <v>1454</v>
      </c>
      <c r="H464" t="s">
        <v>1455</v>
      </c>
      <c r="I464" t="s">
        <v>51</v>
      </c>
      <c r="J464">
        <v>16342.36</v>
      </c>
      <c r="K464">
        <v>255</v>
      </c>
      <c r="L464" t="s">
        <v>40</v>
      </c>
      <c r="M464" s="1">
        <v>43819</v>
      </c>
      <c r="N464" t="s">
        <v>99</v>
      </c>
      <c r="O464" t="s">
        <v>42</v>
      </c>
      <c r="P464">
        <v>20</v>
      </c>
      <c r="Q464" t="s">
        <v>31</v>
      </c>
      <c r="R464" t="s">
        <v>32</v>
      </c>
      <c r="S464">
        <v>11</v>
      </c>
      <c r="T464">
        <v>2019</v>
      </c>
      <c r="U464" t="s">
        <v>62</v>
      </c>
    </row>
    <row r="465" spans="1:21" x14ac:dyDescent="0.3">
      <c r="A465" t="s">
        <v>1456</v>
      </c>
      <c r="B465">
        <v>65</v>
      </c>
      <c r="C465" t="s">
        <v>22</v>
      </c>
      <c r="D465" t="s">
        <v>64</v>
      </c>
      <c r="E465" t="s">
        <v>96</v>
      </c>
      <c r="F465" s="1">
        <v>45004</v>
      </c>
      <c r="G465" t="s">
        <v>1457</v>
      </c>
      <c r="H465" t="s">
        <v>1458</v>
      </c>
      <c r="I465" t="s">
        <v>82</v>
      </c>
      <c r="J465">
        <v>21767.23</v>
      </c>
      <c r="K465">
        <v>410</v>
      </c>
      <c r="L465" t="s">
        <v>60</v>
      </c>
      <c r="M465" s="1">
        <v>45032</v>
      </c>
      <c r="N465" t="s">
        <v>99</v>
      </c>
      <c r="O465" t="s">
        <v>30</v>
      </c>
      <c r="P465">
        <v>28</v>
      </c>
      <c r="Q465" t="s">
        <v>43</v>
      </c>
      <c r="R465" t="s">
        <v>32</v>
      </c>
      <c r="S465">
        <v>3</v>
      </c>
      <c r="T465">
        <v>2023</v>
      </c>
      <c r="U465" t="s">
        <v>122</v>
      </c>
    </row>
    <row r="466" spans="1:21" x14ac:dyDescent="0.3">
      <c r="A466" t="s">
        <v>1459</v>
      </c>
      <c r="B466">
        <v>50</v>
      </c>
      <c r="C466" t="s">
        <v>47</v>
      </c>
      <c r="D466" t="s">
        <v>149</v>
      </c>
      <c r="E466" t="s">
        <v>96</v>
      </c>
      <c r="F466" s="1">
        <v>44594</v>
      </c>
      <c r="G466" t="s">
        <v>1460</v>
      </c>
      <c r="H466" t="s">
        <v>1461</v>
      </c>
      <c r="I466" t="s">
        <v>27</v>
      </c>
      <c r="J466">
        <v>16055.93</v>
      </c>
      <c r="K466">
        <v>393</v>
      </c>
      <c r="L466" t="s">
        <v>40</v>
      </c>
      <c r="M466" s="1">
        <v>44597</v>
      </c>
      <c r="N466" t="s">
        <v>52</v>
      </c>
      <c r="O466" t="s">
        <v>42</v>
      </c>
      <c r="P466">
        <v>3</v>
      </c>
      <c r="Q466" t="s">
        <v>68</v>
      </c>
      <c r="R466" t="s">
        <v>32</v>
      </c>
      <c r="S466">
        <v>2</v>
      </c>
      <c r="T466">
        <v>2022</v>
      </c>
      <c r="U466" t="s">
        <v>278</v>
      </c>
    </row>
    <row r="467" spans="1:21" x14ac:dyDescent="0.3">
      <c r="A467" t="s">
        <v>1462</v>
      </c>
      <c r="B467">
        <v>40</v>
      </c>
      <c r="C467" t="s">
        <v>22</v>
      </c>
      <c r="D467" t="s">
        <v>64</v>
      </c>
      <c r="E467" t="s">
        <v>36</v>
      </c>
      <c r="F467" s="1">
        <v>45194</v>
      </c>
      <c r="G467" t="s">
        <v>1463</v>
      </c>
      <c r="H467" t="s">
        <v>1464</v>
      </c>
      <c r="I467" t="s">
        <v>73</v>
      </c>
      <c r="J467">
        <v>30123.54</v>
      </c>
      <c r="K467">
        <v>423</v>
      </c>
      <c r="L467" t="s">
        <v>28</v>
      </c>
      <c r="M467" s="1">
        <v>45204</v>
      </c>
      <c r="N467" t="s">
        <v>52</v>
      </c>
      <c r="O467" t="s">
        <v>30</v>
      </c>
      <c r="P467">
        <v>10</v>
      </c>
      <c r="Q467" t="s">
        <v>68</v>
      </c>
      <c r="R467" t="s">
        <v>44</v>
      </c>
      <c r="S467">
        <v>9</v>
      </c>
      <c r="T467">
        <v>2023</v>
      </c>
      <c r="U467" t="s">
        <v>54</v>
      </c>
    </row>
    <row r="468" spans="1:21" x14ac:dyDescent="0.3">
      <c r="A468" t="s">
        <v>1465</v>
      </c>
      <c r="B468">
        <v>70</v>
      </c>
      <c r="C468" t="s">
        <v>22</v>
      </c>
      <c r="D468" t="s">
        <v>127</v>
      </c>
      <c r="E468" t="s">
        <v>115</v>
      </c>
      <c r="F468" s="1">
        <v>44497</v>
      </c>
      <c r="G468" t="s">
        <v>1466</v>
      </c>
      <c r="H468" t="s">
        <v>1467</v>
      </c>
      <c r="I468" t="s">
        <v>73</v>
      </c>
      <c r="J468">
        <v>38572.17</v>
      </c>
      <c r="K468">
        <v>123</v>
      </c>
      <c r="L468" t="s">
        <v>40</v>
      </c>
      <c r="M468" s="1">
        <v>44500</v>
      </c>
      <c r="N468" t="s">
        <v>41</v>
      </c>
      <c r="O468" t="s">
        <v>42</v>
      </c>
      <c r="P468">
        <v>3</v>
      </c>
      <c r="Q468" t="s">
        <v>43</v>
      </c>
      <c r="R468" t="s">
        <v>44</v>
      </c>
      <c r="S468">
        <v>10</v>
      </c>
      <c r="T468">
        <v>2021</v>
      </c>
      <c r="U468" t="s">
        <v>110</v>
      </c>
    </row>
    <row r="469" spans="1:21" x14ac:dyDescent="0.3">
      <c r="A469" t="s">
        <v>1468</v>
      </c>
      <c r="B469">
        <v>56</v>
      </c>
      <c r="C469" t="s">
        <v>47</v>
      </c>
      <c r="D469" t="s">
        <v>76</v>
      </c>
      <c r="E469" t="s">
        <v>96</v>
      </c>
      <c r="F469" s="1">
        <v>43998</v>
      </c>
      <c r="G469" t="s">
        <v>1469</v>
      </c>
      <c r="H469" t="s">
        <v>1470</v>
      </c>
      <c r="I469" t="s">
        <v>27</v>
      </c>
      <c r="J469">
        <v>37798.949999999997</v>
      </c>
      <c r="K469">
        <v>392</v>
      </c>
      <c r="L469" t="s">
        <v>28</v>
      </c>
      <c r="M469" s="1">
        <v>44026</v>
      </c>
      <c r="N469" t="s">
        <v>41</v>
      </c>
      <c r="O469" t="s">
        <v>61</v>
      </c>
      <c r="P469">
        <v>28</v>
      </c>
      <c r="Q469" t="s">
        <v>43</v>
      </c>
      <c r="R469" t="s">
        <v>44</v>
      </c>
      <c r="S469">
        <v>6</v>
      </c>
      <c r="T469">
        <v>2020</v>
      </c>
      <c r="U469" t="s">
        <v>118</v>
      </c>
    </row>
    <row r="470" spans="1:21" x14ac:dyDescent="0.3">
      <c r="A470" t="s">
        <v>1471</v>
      </c>
      <c r="B470">
        <v>25</v>
      </c>
      <c r="C470" t="s">
        <v>22</v>
      </c>
      <c r="D470" t="s">
        <v>56</v>
      </c>
      <c r="E470" t="s">
        <v>57</v>
      </c>
      <c r="F470" s="1">
        <v>44476</v>
      </c>
      <c r="G470" t="s">
        <v>1472</v>
      </c>
      <c r="H470" t="s">
        <v>1473</v>
      </c>
      <c r="I470" t="s">
        <v>39</v>
      </c>
      <c r="J470">
        <v>38716.36</v>
      </c>
      <c r="K470">
        <v>283</v>
      </c>
      <c r="L470" t="s">
        <v>40</v>
      </c>
      <c r="M470" s="1">
        <v>44506</v>
      </c>
      <c r="N470" t="s">
        <v>41</v>
      </c>
      <c r="O470" t="s">
        <v>30</v>
      </c>
      <c r="P470">
        <v>30</v>
      </c>
      <c r="Q470" t="s">
        <v>31</v>
      </c>
      <c r="R470" t="s">
        <v>44</v>
      </c>
      <c r="S470">
        <v>10</v>
      </c>
      <c r="T470">
        <v>2021</v>
      </c>
      <c r="U470" t="s">
        <v>110</v>
      </c>
    </row>
    <row r="471" spans="1:21" x14ac:dyDescent="0.3">
      <c r="A471" t="s">
        <v>1474</v>
      </c>
      <c r="B471">
        <v>20</v>
      </c>
      <c r="C471" t="s">
        <v>22</v>
      </c>
      <c r="D471" t="s">
        <v>48</v>
      </c>
      <c r="E471" t="s">
        <v>57</v>
      </c>
      <c r="F471" s="1">
        <v>44315</v>
      </c>
      <c r="G471" t="s">
        <v>1475</v>
      </c>
      <c r="H471" t="s">
        <v>1476</v>
      </c>
      <c r="I471" t="s">
        <v>51</v>
      </c>
      <c r="J471">
        <v>13666.28</v>
      </c>
      <c r="K471">
        <v>471</v>
      </c>
      <c r="L471" t="s">
        <v>60</v>
      </c>
      <c r="M471" s="1">
        <v>44333</v>
      </c>
      <c r="N471" t="s">
        <v>29</v>
      </c>
      <c r="O471" t="s">
        <v>42</v>
      </c>
      <c r="P471">
        <v>18</v>
      </c>
      <c r="Q471" t="s">
        <v>31</v>
      </c>
      <c r="R471" t="s">
        <v>32</v>
      </c>
      <c r="S471">
        <v>4</v>
      </c>
      <c r="T471">
        <v>2021</v>
      </c>
      <c r="U471" t="s">
        <v>94</v>
      </c>
    </row>
    <row r="472" spans="1:21" x14ac:dyDescent="0.3">
      <c r="A472" t="s">
        <v>1477</v>
      </c>
      <c r="B472">
        <v>73</v>
      </c>
      <c r="C472" t="s">
        <v>47</v>
      </c>
      <c r="D472" t="s">
        <v>76</v>
      </c>
      <c r="E472" t="s">
        <v>57</v>
      </c>
      <c r="F472" s="1">
        <v>43597</v>
      </c>
      <c r="G472" t="s">
        <v>1478</v>
      </c>
      <c r="H472" t="s">
        <v>1479</v>
      </c>
      <c r="I472" t="s">
        <v>82</v>
      </c>
      <c r="J472">
        <v>30753.69</v>
      </c>
      <c r="K472">
        <v>236</v>
      </c>
      <c r="L472" t="s">
        <v>60</v>
      </c>
      <c r="M472" s="1">
        <v>43623</v>
      </c>
      <c r="N472" t="s">
        <v>99</v>
      </c>
      <c r="O472" t="s">
        <v>61</v>
      </c>
      <c r="P472">
        <v>26</v>
      </c>
      <c r="Q472" t="s">
        <v>53</v>
      </c>
      <c r="R472" t="s">
        <v>44</v>
      </c>
      <c r="S472">
        <v>5</v>
      </c>
      <c r="T472">
        <v>2019</v>
      </c>
      <c r="U472" t="s">
        <v>90</v>
      </c>
    </row>
    <row r="473" spans="1:21" x14ac:dyDescent="0.3">
      <c r="A473" t="s">
        <v>1480</v>
      </c>
      <c r="B473">
        <v>82</v>
      </c>
      <c r="C473" t="s">
        <v>22</v>
      </c>
      <c r="D473" t="s">
        <v>23</v>
      </c>
      <c r="E473" t="s">
        <v>36</v>
      </c>
      <c r="F473" s="1">
        <v>44451</v>
      </c>
      <c r="G473" t="s">
        <v>1481</v>
      </c>
      <c r="H473" t="s">
        <v>1482</v>
      </c>
      <c r="I473" t="s">
        <v>73</v>
      </c>
      <c r="J473">
        <v>44278.23</v>
      </c>
      <c r="K473">
        <v>295</v>
      </c>
      <c r="L473" t="s">
        <v>60</v>
      </c>
      <c r="M473" s="1">
        <v>44456</v>
      </c>
      <c r="N473" t="s">
        <v>52</v>
      </c>
      <c r="O473" t="s">
        <v>42</v>
      </c>
      <c r="P473">
        <v>5</v>
      </c>
      <c r="Q473" t="s">
        <v>53</v>
      </c>
      <c r="R473" t="s">
        <v>44</v>
      </c>
      <c r="S473">
        <v>9</v>
      </c>
      <c r="T473">
        <v>2021</v>
      </c>
      <c r="U473" t="s">
        <v>54</v>
      </c>
    </row>
    <row r="474" spans="1:21" x14ac:dyDescent="0.3">
      <c r="A474" t="s">
        <v>1483</v>
      </c>
      <c r="B474">
        <v>31</v>
      </c>
      <c r="C474" t="s">
        <v>22</v>
      </c>
      <c r="D474" t="s">
        <v>127</v>
      </c>
      <c r="E474" t="s">
        <v>57</v>
      </c>
      <c r="F474" s="1">
        <v>44221</v>
      </c>
      <c r="G474" t="s">
        <v>1484</v>
      </c>
      <c r="H474" t="s">
        <v>1485</v>
      </c>
      <c r="I474" t="s">
        <v>51</v>
      </c>
      <c r="J474">
        <v>6267.54</v>
      </c>
      <c r="K474">
        <v>140</v>
      </c>
      <c r="L474" t="s">
        <v>28</v>
      </c>
      <c r="M474" s="1">
        <v>44223</v>
      </c>
      <c r="N474" t="s">
        <v>41</v>
      </c>
      <c r="O474" t="s">
        <v>30</v>
      </c>
      <c r="P474">
        <v>2</v>
      </c>
      <c r="Q474" t="s">
        <v>31</v>
      </c>
      <c r="R474" t="s">
        <v>100</v>
      </c>
      <c r="S474">
        <v>1</v>
      </c>
      <c r="T474">
        <v>2021</v>
      </c>
      <c r="U474" t="s">
        <v>33</v>
      </c>
    </row>
    <row r="475" spans="1:21" x14ac:dyDescent="0.3">
      <c r="A475" t="s">
        <v>1486</v>
      </c>
      <c r="B475">
        <v>74</v>
      </c>
      <c r="C475" t="s">
        <v>22</v>
      </c>
      <c r="D475" t="s">
        <v>149</v>
      </c>
      <c r="E475" t="s">
        <v>24</v>
      </c>
      <c r="F475" s="1">
        <v>43973</v>
      </c>
      <c r="G475" t="s">
        <v>1487</v>
      </c>
      <c r="H475" t="s">
        <v>1488</v>
      </c>
      <c r="I475" t="s">
        <v>51</v>
      </c>
      <c r="J475">
        <v>26276.79</v>
      </c>
      <c r="K475">
        <v>242</v>
      </c>
      <c r="L475" t="s">
        <v>60</v>
      </c>
      <c r="M475" s="1">
        <v>43999</v>
      </c>
      <c r="N475" t="s">
        <v>41</v>
      </c>
      <c r="O475" t="s">
        <v>30</v>
      </c>
      <c r="P475">
        <v>26</v>
      </c>
      <c r="Q475" t="s">
        <v>53</v>
      </c>
      <c r="R475" t="s">
        <v>32</v>
      </c>
      <c r="S475">
        <v>5</v>
      </c>
      <c r="T475">
        <v>2020</v>
      </c>
      <c r="U475" t="s">
        <v>90</v>
      </c>
    </row>
    <row r="476" spans="1:21" x14ac:dyDescent="0.3">
      <c r="A476" t="s">
        <v>1489</v>
      </c>
      <c r="B476">
        <v>38</v>
      </c>
      <c r="C476" t="s">
        <v>47</v>
      </c>
      <c r="D476" t="s">
        <v>23</v>
      </c>
      <c r="E476" t="s">
        <v>70</v>
      </c>
      <c r="F476" s="1">
        <v>44732</v>
      </c>
      <c r="G476" t="s">
        <v>1490</v>
      </c>
      <c r="H476" t="s">
        <v>1491</v>
      </c>
      <c r="I476" t="s">
        <v>27</v>
      </c>
      <c r="J476">
        <v>33171.03</v>
      </c>
      <c r="K476">
        <v>319</v>
      </c>
      <c r="L476" t="s">
        <v>60</v>
      </c>
      <c r="M476" s="1">
        <v>44756</v>
      </c>
      <c r="N476" t="s">
        <v>52</v>
      </c>
      <c r="O476" t="s">
        <v>42</v>
      </c>
      <c r="P476">
        <v>24</v>
      </c>
      <c r="Q476" t="s">
        <v>68</v>
      </c>
      <c r="R476" t="s">
        <v>44</v>
      </c>
      <c r="S476">
        <v>6</v>
      </c>
      <c r="T476">
        <v>2022</v>
      </c>
      <c r="U476" t="s">
        <v>118</v>
      </c>
    </row>
    <row r="477" spans="1:21" x14ac:dyDescent="0.3">
      <c r="A477" t="s">
        <v>1492</v>
      </c>
      <c r="B477">
        <v>63</v>
      </c>
      <c r="C477" t="s">
        <v>47</v>
      </c>
      <c r="D477" t="s">
        <v>76</v>
      </c>
      <c r="E477" t="s">
        <v>24</v>
      </c>
      <c r="F477" s="1">
        <v>44151</v>
      </c>
      <c r="G477" t="s">
        <v>1493</v>
      </c>
      <c r="H477" t="s">
        <v>1494</v>
      </c>
      <c r="I477" t="s">
        <v>73</v>
      </c>
      <c r="J477">
        <v>44984.24</v>
      </c>
      <c r="K477">
        <v>124</v>
      </c>
      <c r="L477" t="s">
        <v>60</v>
      </c>
      <c r="M477" s="1">
        <v>44171</v>
      </c>
      <c r="N477" t="s">
        <v>29</v>
      </c>
      <c r="O477" t="s">
        <v>30</v>
      </c>
      <c r="P477">
        <v>20</v>
      </c>
      <c r="Q477" t="s">
        <v>43</v>
      </c>
      <c r="R477" t="s">
        <v>44</v>
      </c>
      <c r="S477">
        <v>11</v>
      </c>
      <c r="T477">
        <v>2020</v>
      </c>
      <c r="U477" t="s">
        <v>62</v>
      </c>
    </row>
    <row r="478" spans="1:21" x14ac:dyDescent="0.3">
      <c r="A478" t="s">
        <v>1495</v>
      </c>
      <c r="B478">
        <v>62</v>
      </c>
      <c r="C478" t="s">
        <v>47</v>
      </c>
      <c r="D478" t="s">
        <v>23</v>
      </c>
      <c r="E478" t="s">
        <v>36</v>
      </c>
      <c r="F478" s="1">
        <v>44113</v>
      </c>
      <c r="G478" t="s">
        <v>1496</v>
      </c>
      <c r="H478" t="s">
        <v>1497</v>
      </c>
      <c r="I478" t="s">
        <v>82</v>
      </c>
      <c r="J478">
        <v>27091.86</v>
      </c>
      <c r="K478">
        <v>315</v>
      </c>
      <c r="L478" t="s">
        <v>28</v>
      </c>
      <c r="M478" s="1">
        <v>44118</v>
      </c>
      <c r="N478" t="s">
        <v>41</v>
      </c>
      <c r="O478" t="s">
        <v>42</v>
      </c>
      <c r="P478">
        <v>5</v>
      </c>
      <c r="Q478" t="s">
        <v>43</v>
      </c>
      <c r="R478" t="s">
        <v>32</v>
      </c>
      <c r="S478">
        <v>10</v>
      </c>
      <c r="T478">
        <v>2020</v>
      </c>
      <c r="U478" t="s">
        <v>110</v>
      </c>
    </row>
    <row r="479" spans="1:21" x14ac:dyDescent="0.3">
      <c r="A479" t="s">
        <v>1498</v>
      </c>
      <c r="B479">
        <v>80</v>
      </c>
      <c r="C479" t="s">
        <v>22</v>
      </c>
      <c r="D479" t="s">
        <v>56</v>
      </c>
      <c r="E479" t="s">
        <v>36</v>
      </c>
      <c r="F479" s="1">
        <v>45272</v>
      </c>
      <c r="G479" t="s">
        <v>1499</v>
      </c>
      <c r="H479" t="s">
        <v>1500</v>
      </c>
      <c r="I479" t="s">
        <v>73</v>
      </c>
      <c r="J479">
        <v>32387.93</v>
      </c>
      <c r="K479">
        <v>264</v>
      </c>
      <c r="L479" t="s">
        <v>28</v>
      </c>
      <c r="M479" s="1">
        <v>45287</v>
      </c>
      <c r="N479" t="s">
        <v>41</v>
      </c>
      <c r="O479" t="s">
        <v>30</v>
      </c>
      <c r="P479">
        <v>15</v>
      </c>
      <c r="Q479" t="s">
        <v>53</v>
      </c>
      <c r="R479" t="s">
        <v>44</v>
      </c>
      <c r="S479">
        <v>12</v>
      </c>
      <c r="T479">
        <v>2023</v>
      </c>
      <c r="U479" t="s">
        <v>74</v>
      </c>
    </row>
    <row r="480" spans="1:21" x14ac:dyDescent="0.3">
      <c r="A480" t="s">
        <v>1501</v>
      </c>
      <c r="B480">
        <v>25</v>
      </c>
      <c r="C480" t="s">
        <v>47</v>
      </c>
      <c r="D480" t="s">
        <v>76</v>
      </c>
      <c r="E480" t="s">
        <v>24</v>
      </c>
      <c r="F480" s="1">
        <v>44726</v>
      </c>
      <c r="G480" t="s">
        <v>1502</v>
      </c>
      <c r="H480" t="s">
        <v>1503</v>
      </c>
      <c r="I480" t="s">
        <v>82</v>
      </c>
      <c r="J480">
        <v>32905.480000000003</v>
      </c>
      <c r="K480">
        <v>289</v>
      </c>
      <c r="L480" t="s">
        <v>40</v>
      </c>
      <c r="M480" s="1">
        <v>44745</v>
      </c>
      <c r="N480" t="s">
        <v>99</v>
      </c>
      <c r="O480" t="s">
        <v>61</v>
      </c>
      <c r="P480">
        <v>19</v>
      </c>
      <c r="Q480" t="s">
        <v>31</v>
      </c>
      <c r="R480" t="s">
        <v>44</v>
      </c>
      <c r="S480">
        <v>6</v>
      </c>
      <c r="T480">
        <v>2022</v>
      </c>
      <c r="U480" t="s">
        <v>118</v>
      </c>
    </row>
    <row r="481" spans="1:21" x14ac:dyDescent="0.3">
      <c r="A481" t="s">
        <v>1504</v>
      </c>
      <c r="B481">
        <v>51</v>
      </c>
      <c r="C481" t="s">
        <v>22</v>
      </c>
      <c r="D481" t="s">
        <v>48</v>
      </c>
      <c r="E481" t="s">
        <v>57</v>
      </c>
      <c r="F481" s="1">
        <v>44980</v>
      </c>
      <c r="G481" t="s">
        <v>1505</v>
      </c>
      <c r="H481" t="s">
        <v>1506</v>
      </c>
      <c r="I481" t="s">
        <v>27</v>
      </c>
      <c r="J481">
        <v>1332.34</v>
      </c>
      <c r="K481">
        <v>489</v>
      </c>
      <c r="L481" t="s">
        <v>40</v>
      </c>
      <c r="M481" s="1">
        <v>45003</v>
      </c>
      <c r="N481" t="s">
        <v>52</v>
      </c>
      <c r="O481" t="s">
        <v>61</v>
      </c>
      <c r="P481">
        <v>23</v>
      </c>
      <c r="Q481" t="s">
        <v>68</v>
      </c>
      <c r="R481" t="s">
        <v>100</v>
      </c>
      <c r="S481">
        <v>2</v>
      </c>
      <c r="T481">
        <v>2023</v>
      </c>
      <c r="U481" t="s">
        <v>278</v>
      </c>
    </row>
    <row r="482" spans="1:21" x14ac:dyDescent="0.3">
      <c r="A482" t="s">
        <v>1507</v>
      </c>
      <c r="B482">
        <v>46</v>
      </c>
      <c r="C482" t="s">
        <v>47</v>
      </c>
      <c r="D482" t="s">
        <v>64</v>
      </c>
      <c r="E482" t="s">
        <v>36</v>
      </c>
      <c r="F482" s="1">
        <v>45407</v>
      </c>
      <c r="G482" t="s">
        <v>1508</v>
      </c>
      <c r="H482" t="s">
        <v>1509</v>
      </c>
      <c r="I482" t="s">
        <v>51</v>
      </c>
      <c r="J482">
        <v>17702.57</v>
      </c>
      <c r="K482">
        <v>385</v>
      </c>
      <c r="L482" t="s">
        <v>28</v>
      </c>
      <c r="M482" s="1">
        <v>45424</v>
      </c>
      <c r="N482" t="s">
        <v>41</v>
      </c>
      <c r="O482" t="s">
        <v>42</v>
      </c>
      <c r="P482">
        <v>17</v>
      </c>
      <c r="Q482" t="s">
        <v>68</v>
      </c>
      <c r="R482" t="s">
        <v>32</v>
      </c>
      <c r="S482">
        <v>4</v>
      </c>
      <c r="T482">
        <v>2024</v>
      </c>
      <c r="U482" t="s">
        <v>94</v>
      </c>
    </row>
    <row r="483" spans="1:21" x14ac:dyDescent="0.3">
      <c r="A483" t="s">
        <v>1510</v>
      </c>
      <c r="B483">
        <v>18</v>
      </c>
      <c r="C483" t="s">
        <v>47</v>
      </c>
      <c r="D483" t="s">
        <v>35</v>
      </c>
      <c r="E483" t="s">
        <v>70</v>
      </c>
      <c r="F483" s="1">
        <v>44720</v>
      </c>
      <c r="G483" t="s">
        <v>1511</v>
      </c>
      <c r="H483" t="s">
        <v>1512</v>
      </c>
      <c r="I483" t="s">
        <v>73</v>
      </c>
      <c r="J483">
        <v>33443.550000000003</v>
      </c>
      <c r="K483">
        <v>342</v>
      </c>
      <c r="L483" t="s">
        <v>40</v>
      </c>
      <c r="M483" s="1">
        <v>44734</v>
      </c>
      <c r="N483" t="s">
        <v>67</v>
      </c>
      <c r="O483" t="s">
        <v>30</v>
      </c>
      <c r="P483">
        <v>14</v>
      </c>
      <c r="Q483" t="s">
        <v>31</v>
      </c>
      <c r="R483" t="s">
        <v>44</v>
      </c>
      <c r="S483">
        <v>6</v>
      </c>
      <c r="T483">
        <v>2022</v>
      </c>
      <c r="U483" t="s">
        <v>118</v>
      </c>
    </row>
    <row r="484" spans="1:21" x14ac:dyDescent="0.3">
      <c r="A484" t="s">
        <v>1513</v>
      </c>
      <c r="B484">
        <v>30</v>
      </c>
      <c r="C484" t="s">
        <v>47</v>
      </c>
      <c r="D484" t="s">
        <v>23</v>
      </c>
      <c r="E484" t="s">
        <v>24</v>
      </c>
      <c r="F484" s="1">
        <v>45267</v>
      </c>
      <c r="G484" t="s">
        <v>1514</v>
      </c>
      <c r="H484" t="s">
        <v>1515</v>
      </c>
      <c r="I484" t="s">
        <v>82</v>
      </c>
      <c r="J484">
        <v>23175.5</v>
      </c>
      <c r="K484">
        <v>326</v>
      </c>
      <c r="L484" t="s">
        <v>40</v>
      </c>
      <c r="M484" s="1">
        <v>45284</v>
      </c>
      <c r="N484" t="s">
        <v>41</v>
      </c>
      <c r="O484" t="s">
        <v>30</v>
      </c>
      <c r="P484">
        <v>17</v>
      </c>
      <c r="Q484" t="s">
        <v>31</v>
      </c>
      <c r="R484" t="s">
        <v>32</v>
      </c>
      <c r="S484">
        <v>12</v>
      </c>
      <c r="T484">
        <v>2023</v>
      </c>
      <c r="U484" t="s">
        <v>74</v>
      </c>
    </row>
    <row r="485" spans="1:21" x14ac:dyDescent="0.3">
      <c r="A485" t="s">
        <v>1516</v>
      </c>
      <c r="B485">
        <v>43</v>
      </c>
      <c r="C485" t="s">
        <v>22</v>
      </c>
      <c r="D485" t="s">
        <v>76</v>
      </c>
      <c r="E485" t="s">
        <v>24</v>
      </c>
      <c r="F485" s="1">
        <v>44138</v>
      </c>
      <c r="G485" t="s">
        <v>1517</v>
      </c>
      <c r="H485" t="s">
        <v>1518</v>
      </c>
      <c r="I485" t="s">
        <v>39</v>
      </c>
      <c r="J485">
        <v>14224.31</v>
      </c>
      <c r="K485">
        <v>426</v>
      </c>
      <c r="L485" t="s">
        <v>40</v>
      </c>
      <c r="M485" s="1">
        <v>44166</v>
      </c>
      <c r="N485" t="s">
        <v>29</v>
      </c>
      <c r="O485" t="s">
        <v>61</v>
      </c>
      <c r="P485">
        <v>28</v>
      </c>
      <c r="Q485" t="s">
        <v>68</v>
      </c>
      <c r="R485" t="s">
        <v>32</v>
      </c>
      <c r="S485">
        <v>11</v>
      </c>
      <c r="T485">
        <v>2020</v>
      </c>
      <c r="U485" t="s">
        <v>62</v>
      </c>
    </row>
    <row r="486" spans="1:21" x14ac:dyDescent="0.3">
      <c r="A486" t="s">
        <v>1519</v>
      </c>
      <c r="B486">
        <v>21</v>
      </c>
      <c r="C486" t="s">
        <v>22</v>
      </c>
      <c r="D486" t="s">
        <v>64</v>
      </c>
      <c r="E486" t="s">
        <v>96</v>
      </c>
      <c r="F486" s="1">
        <v>45202</v>
      </c>
      <c r="G486" t="s">
        <v>1520</v>
      </c>
      <c r="H486" t="s">
        <v>1521</v>
      </c>
      <c r="I486" t="s">
        <v>39</v>
      </c>
      <c r="J486">
        <v>23483.5</v>
      </c>
      <c r="K486">
        <v>357</v>
      </c>
      <c r="L486" t="s">
        <v>28</v>
      </c>
      <c r="M486" s="1">
        <v>45217</v>
      </c>
      <c r="N486" t="s">
        <v>29</v>
      </c>
      <c r="O486" t="s">
        <v>30</v>
      </c>
      <c r="P486">
        <v>15</v>
      </c>
      <c r="Q486" t="s">
        <v>31</v>
      </c>
      <c r="R486" t="s">
        <v>32</v>
      </c>
      <c r="S486">
        <v>10</v>
      </c>
      <c r="T486">
        <v>2023</v>
      </c>
      <c r="U486" t="s">
        <v>110</v>
      </c>
    </row>
    <row r="487" spans="1:21" x14ac:dyDescent="0.3">
      <c r="A487" t="s">
        <v>1522</v>
      </c>
      <c r="B487">
        <v>28</v>
      </c>
      <c r="C487" t="s">
        <v>47</v>
      </c>
      <c r="D487" t="s">
        <v>23</v>
      </c>
      <c r="E487" t="s">
        <v>96</v>
      </c>
      <c r="F487" s="1">
        <v>44723</v>
      </c>
      <c r="G487" t="s">
        <v>1523</v>
      </c>
      <c r="H487" t="s">
        <v>1524</v>
      </c>
      <c r="I487" t="s">
        <v>73</v>
      </c>
      <c r="J487">
        <v>31326.73</v>
      </c>
      <c r="K487">
        <v>299</v>
      </c>
      <c r="L487" t="s">
        <v>40</v>
      </c>
      <c r="M487" s="1">
        <v>44740</v>
      </c>
      <c r="N487" t="s">
        <v>29</v>
      </c>
      <c r="O487" t="s">
        <v>61</v>
      </c>
      <c r="P487">
        <v>17</v>
      </c>
      <c r="Q487" t="s">
        <v>31</v>
      </c>
      <c r="R487" t="s">
        <v>44</v>
      </c>
      <c r="S487">
        <v>6</v>
      </c>
      <c r="T487">
        <v>2022</v>
      </c>
      <c r="U487" t="s">
        <v>118</v>
      </c>
    </row>
    <row r="488" spans="1:21" x14ac:dyDescent="0.3">
      <c r="A488" t="s">
        <v>1525</v>
      </c>
      <c r="B488">
        <v>26</v>
      </c>
      <c r="C488" t="s">
        <v>47</v>
      </c>
      <c r="D488" t="s">
        <v>149</v>
      </c>
      <c r="E488" t="s">
        <v>96</v>
      </c>
      <c r="F488" s="1">
        <v>44380</v>
      </c>
      <c r="G488" t="s">
        <v>1526</v>
      </c>
      <c r="H488" t="s">
        <v>1527</v>
      </c>
      <c r="I488" t="s">
        <v>51</v>
      </c>
      <c r="J488">
        <v>48651.74</v>
      </c>
      <c r="K488">
        <v>124</v>
      </c>
      <c r="L488" t="s">
        <v>28</v>
      </c>
      <c r="M488" s="1">
        <v>44406</v>
      </c>
      <c r="N488" t="s">
        <v>67</v>
      </c>
      <c r="O488" t="s">
        <v>42</v>
      </c>
      <c r="P488">
        <v>26</v>
      </c>
      <c r="Q488" t="s">
        <v>31</v>
      </c>
      <c r="R488" t="s">
        <v>44</v>
      </c>
      <c r="S488">
        <v>7</v>
      </c>
      <c r="T488">
        <v>2021</v>
      </c>
      <c r="U488" t="s">
        <v>86</v>
      </c>
    </row>
    <row r="489" spans="1:21" x14ac:dyDescent="0.3">
      <c r="A489" t="s">
        <v>1528</v>
      </c>
      <c r="B489">
        <v>24</v>
      </c>
      <c r="C489" t="s">
        <v>22</v>
      </c>
      <c r="D489" t="s">
        <v>48</v>
      </c>
      <c r="E489" t="s">
        <v>70</v>
      </c>
      <c r="F489" s="1">
        <v>45370</v>
      </c>
      <c r="G489" t="s">
        <v>1529</v>
      </c>
      <c r="H489" t="s">
        <v>1530</v>
      </c>
      <c r="I489" t="s">
        <v>51</v>
      </c>
      <c r="J489">
        <v>18932.310000000001</v>
      </c>
      <c r="K489">
        <v>115</v>
      </c>
      <c r="L489" t="s">
        <v>60</v>
      </c>
      <c r="M489" s="1">
        <v>45384</v>
      </c>
      <c r="N489" t="s">
        <v>67</v>
      </c>
      <c r="O489" t="s">
        <v>42</v>
      </c>
      <c r="P489">
        <v>14</v>
      </c>
      <c r="Q489" t="s">
        <v>31</v>
      </c>
      <c r="R489" t="s">
        <v>32</v>
      </c>
      <c r="S489">
        <v>3</v>
      </c>
      <c r="T489">
        <v>2024</v>
      </c>
      <c r="U489" t="s">
        <v>122</v>
      </c>
    </row>
    <row r="490" spans="1:21" x14ac:dyDescent="0.3">
      <c r="A490" t="s">
        <v>1531</v>
      </c>
      <c r="B490">
        <v>55</v>
      </c>
      <c r="C490" t="s">
        <v>47</v>
      </c>
      <c r="D490" t="s">
        <v>76</v>
      </c>
      <c r="E490" t="s">
        <v>57</v>
      </c>
      <c r="F490" s="1">
        <v>45302</v>
      </c>
      <c r="G490" t="s">
        <v>1532</v>
      </c>
      <c r="H490" t="s">
        <v>1533</v>
      </c>
      <c r="I490" t="s">
        <v>27</v>
      </c>
      <c r="J490">
        <v>22063.23</v>
      </c>
      <c r="K490">
        <v>147</v>
      </c>
      <c r="L490" t="s">
        <v>60</v>
      </c>
      <c r="M490" s="1">
        <v>45321</v>
      </c>
      <c r="N490" t="s">
        <v>29</v>
      </c>
      <c r="O490" t="s">
        <v>42</v>
      </c>
      <c r="P490">
        <v>19</v>
      </c>
      <c r="Q490" t="s">
        <v>68</v>
      </c>
      <c r="R490" t="s">
        <v>32</v>
      </c>
      <c r="S490">
        <v>1</v>
      </c>
      <c r="T490">
        <v>2024</v>
      </c>
      <c r="U490" t="s">
        <v>33</v>
      </c>
    </row>
    <row r="491" spans="1:21" x14ac:dyDescent="0.3">
      <c r="A491" t="s">
        <v>1534</v>
      </c>
      <c r="B491">
        <v>41</v>
      </c>
      <c r="C491" t="s">
        <v>47</v>
      </c>
      <c r="D491" t="s">
        <v>35</v>
      </c>
      <c r="E491" t="s">
        <v>24</v>
      </c>
      <c r="F491" s="1">
        <v>44373</v>
      </c>
      <c r="G491" t="s">
        <v>1535</v>
      </c>
      <c r="H491" t="s">
        <v>1536</v>
      </c>
      <c r="I491" t="s">
        <v>39</v>
      </c>
      <c r="J491">
        <v>20714.71</v>
      </c>
      <c r="K491">
        <v>234</v>
      </c>
      <c r="L491" t="s">
        <v>28</v>
      </c>
      <c r="M491" s="1">
        <v>44398</v>
      </c>
      <c r="N491" t="s">
        <v>99</v>
      </c>
      <c r="O491" t="s">
        <v>42</v>
      </c>
      <c r="P491">
        <v>25</v>
      </c>
      <c r="Q491" t="s">
        <v>68</v>
      </c>
      <c r="R491" t="s">
        <v>32</v>
      </c>
      <c r="S491">
        <v>6</v>
      </c>
      <c r="T491">
        <v>2021</v>
      </c>
      <c r="U491" t="s">
        <v>118</v>
      </c>
    </row>
    <row r="492" spans="1:21" x14ac:dyDescent="0.3">
      <c r="A492" t="s">
        <v>1537</v>
      </c>
      <c r="B492">
        <v>85</v>
      </c>
      <c r="C492" t="s">
        <v>22</v>
      </c>
      <c r="D492" t="s">
        <v>56</v>
      </c>
      <c r="E492" t="s">
        <v>70</v>
      </c>
      <c r="F492" s="1">
        <v>45310</v>
      </c>
      <c r="G492" t="s">
        <v>1538</v>
      </c>
      <c r="H492" t="s">
        <v>1539</v>
      </c>
      <c r="I492" t="s">
        <v>73</v>
      </c>
      <c r="J492">
        <v>34510.879999999997</v>
      </c>
      <c r="K492">
        <v>292</v>
      </c>
      <c r="L492" t="s">
        <v>60</v>
      </c>
      <c r="M492" s="1">
        <v>45327</v>
      </c>
      <c r="N492" t="s">
        <v>41</v>
      </c>
      <c r="O492" t="s">
        <v>42</v>
      </c>
      <c r="P492">
        <v>17</v>
      </c>
      <c r="Q492" t="s">
        <v>53</v>
      </c>
      <c r="R492" t="s">
        <v>44</v>
      </c>
      <c r="S492">
        <v>1</v>
      </c>
      <c r="T492">
        <v>2024</v>
      </c>
      <c r="U492" t="s">
        <v>33</v>
      </c>
    </row>
    <row r="493" spans="1:21" x14ac:dyDescent="0.3">
      <c r="A493" t="s">
        <v>1540</v>
      </c>
      <c r="B493">
        <v>45</v>
      </c>
      <c r="C493" t="s">
        <v>22</v>
      </c>
      <c r="D493" t="s">
        <v>149</v>
      </c>
      <c r="E493" t="s">
        <v>96</v>
      </c>
      <c r="F493" s="1">
        <v>44180</v>
      </c>
      <c r="G493" t="s">
        <v>1541</v>
      </c>
      <c r="H493" t="s">
        <v>1542</v>
      </c>
      <c r="I493" t="s">
        <v>27</v>
      </c>
      <c r="J493">
        <v>42200.51</v>
      </c>
      <c r="K493">
        <v>115</v>
      </c>
      <c r="L493" t="s">
        <v>60</v>
      </c>
      <c r="M493" s="1">
        <v>44209</v>
      </c>
      <c r="N493" t="s">
        <v>99</v>
      </c>
      <c r="O493" t="s">
        <v>42</v>
      </c>
      <c r="P493">
        <v>29</v>
      </c>
      <c r="Q493" t="s">
        <v>68</v>
      </c>
      <c r="R493" t="s">
        <v>44</v>
      </c>
      <c r="S493">
        <v>12</v>
      </c>
      <c r="T493">
        <v>2020</v>
      </c>
      <c r="U493" t="s">
        <v>74</v>
      </c>
    </row>
    <row r="494" spans="1:21" x14ac:dyDescent="0.3">
      <c r="A494" t="s">
        <v>1543</v>
      </c>
      <c r="B494">
        <v>22</v>
      </c>
      <c r="C494" t="s">
        <v>47</v>
      </c>
      <c r="D494" t="s">
        <v>127</v>
      </c>
      <c r="E494" t="s">
        <v>96</v>
      </c>
      <c r="F494" s="1">
        <v>44330</v>
      </c>
      <c r="G494" t="s">
        <v>1544</v>
      </c>
      <c r="H494" t="s">
        <v>1545</v>
      </c>
      <c r="I494" t="s">
        <v>82</v>
      </c>
      <c r="J494">
        <v>24451.29</v>
      </c>
      <c r="K494">
        <v>413</v>
      </c>
      <c r="L494" t="s">
        <v>40</v>
      </c>
      <c r="M494" s="1">
        <v>44344</v>
      </c>
      <c r="N494" t="s">
        <v>29</v>
      </c>
      <c r="O494" t="s">
        <v>61</v>
      </c>
      <c r="P494">
        <v>14</v>
      </c>
      <c r="Q494" t="s">
        <v>31</v>
      </c>
      <c r="R494" t="s">
        <v>32</v>
      </c>
      <c r="S494">
        <v>5</v>
      </c>
      <c r="T494">
        <v>2021</v>
      </c>
      <c r="U494" t="s">
        <v>90</v>
      </c>
    </row>
    <row r="495" spans="1:21" x14ac:dyDescent="0.3">
      <c r="A495" t="s">
        <v>1546</v>
      </c>
      <c r="B495">
        <v>18</v>
      </c>
      <c r="C495" t="s">
        <v>22</v>
      </c>
      <c r="D495" t="s">
        <v>127</v>
      </c>
      <c r="E495" t="s">
        <v>57</v>
      </c>
      <c r="F495" s="1">
        <v>44387</v>
      </c>
      <c r="G495" t="s">
        <v>1547</v>
      </c>
      <c r="H495" t="s">
        <v>1548</v>
      </c>
      <c r="I495" t="s">
        <v>73</v>
      </c>
      <c r="J495">
        <v>30289.7</v>
      </c>
      <c r="K495">
        <v>165</v>
      </c>
      <c r="L495" t="s">
        <v>40</v>
      </c>
      <c r="M495" s="1">
        <v>44389</v>
      </c>
      <c r="N495" t="s">
        <v>29</v>
      </c>
      <c r="O495" t="s">
        <v>30</v>
      </c>
      <c r="P495">
        <v>2</v>
      </c>
      <c r="Q495" t="s">
        <v>31</v>
      </c>
      <c r="R495" t="s">
        <v>44</v>
      </c>
      <c r="S495">
        <v>7</v>
      </c>
      <c r="T495">
        <v>2021</v>
      </c>
      <c r="U495" t="s">
        <v>86</v>
      </c>
    </row>
    <row r="496" spans="1:21" x14ac:dyDescent="0.3">
      <c r="A496" t="s">
        <v>1549</v>
      </c>
      <c r="B496">
        <v>60</v>
      </c>
      <c r="C496" t="s">
        <v>22</v>
      </c>
      <c r="D496" t="s">
        <v>23</v>
      </c>
      <c r="E496" t="s">
        <v>57</v>
      </c>
      <c r="F496" s="1">
        <v>44037</v>
      </c>
      <c r="G496" t="s">
        <v>1550</v>
      </c>
      <c r="H496" t="s">
        <v>1551</v>
      </c>
      <c r="I496" t="s">
        <v>39</v>
      </c>
      <c r="J496">
        <v>35317.49</v>
      </c>
      <c r="K496">
        <v>431</v>
      </c>
      <c r="L496" t="s">
        <v>28</v>
      </c>
      <c r="M496" s="1">
        <v>44041</v>
      </c>
      <c r="N496" t="s">
        <v>99</v>
      </c>
      <c r="O496" t="s">
        <v>30</v>
      </c>
      <c r="P496">
        <v>4</v>
      </c>
      <c r="Q496" t="s">
        <v>43</v>
      </c>
      <c r="R496" t="s">
        <v>44</v>
      </c>
      <c r="S496">
        <v>7</v>
      </c>
      <c r="T496">
        <v>2020</v>
      </c>
      <c r="U496" t="s">
        <v>86</v>
      </c>
    </row>
    <row r="497" spans="1:21" x14ac:dyDescent="0.3">
      <c r="A497" t="s">
        <v>1552</v>
      </c>
      <c r="B497">
        <v>22</v>
      </c>
      <c r="C497" t="s">
        <v>47</v>
      </c>
      <c r="D497" t="s">
        <v>64</v>
      </c>
      <c r="E497" t="s">
        <v>36</v>
      </c>
      <c r="F497" s="1">
        <v>43725</v>
      </c>
      <c r="G497" t="s">
        <v>1553</v>
      </c>
      <c r="H497" t="s">
        <v>1554</v>
      </c>
      <c r="I497" t="s">
        <v>82</v>
      </c>
      <c r="J497">
        <v>8033.61</v>
      </c>
      <c r="K497">
        <v>293</v>
      </c>
      <c r="L497" t="s">
        <v>60</v>
      </c>
      <c r="M497" s="1">
        <v>43739</v>
      </c>
      <c r="N497" t="s">
        <v>99</v>
      </c>
      <c r="O497" t="s">
        <v>42</v>
      </c>
      <c r="P497">
        <v>14</v>
      </c>
      <c r="Q497" t="s">
        <v>31</v>
      </c>
      <c r="R497" t="s">
        <v>100</v>
      </c>
      <c r="S497">
        <v>9</v>
      </c>
      <c r="T497">
        <v>2019</v>
      </c>
      <c r="U497" t="s">
        <v>54</v>
      </c>
    </row>
    <row r="498" spans="1:21" x14ac:dyDescent="0.3">
      <c r="A498" t="s">
        <v>1555</v>
      </c>
      <c r="B498">
        <v>65</v>
      </c>
      <c r="C498" t="s">
        <v>47</v>
      </c>
      <c r="D498" t="s">
        <v>35</v>
      </c>
      <c r="E498" t="s">
        <v>36</v>
      </c>
      <c r="F498" s="1">
        <v>43599</v>
      </c>
      <c r="G498" t="s">
        <v>1556</v>
      </c>
      <c r="H498" t="s">
        <v>1557</v>
      </c>
      <c r="I498" t="s">
        <v>39</v>
      </c>
      <c r="J498">
        <v>7391.53</v>
      </c>
      <c r="K498">
        <v>270</v>
      </c>
      <c r="L498" t="s">
        <v>60</v>
      </c>
      <c r="M498" s="1">
        <v>43605</v>
      </c>
      <c r="N498" t="s">
        <v>52</v>
      </c>
      <c r="O498" t="s">
        <v>42</v>
      </c>
      <c r="P498">
        <v>6</v>
      </c>
      <c r="Q498" t="s">
        <v>43</v>
      </c>
      <c r="R498" t="s">
        <v>100</v>
      </c>
      <c r="S498">
        <v>5</v>
      </c>
      <c r="T498">
        <v>2019</v>
      </c>
      <c r="U498" t="s">
        <v>90</v>
      </c>
    </row>
    <row r="499" spans="1:21" x14ac:dyDescent="0.3">
      <c r="A499" t="s">
        <v>1558</v>
      </c>
      <c r="B499">
        <v>73</v>
      </c>
      <c r="C499" t="s">
        <v>47</v>
      </c>
      <c r="D499" t="s">
        <v>127</v>
      </c>
      <c r="E499" t="s">
        <v>70</v>
      </c>
      <c r="F499" s="1">
        <v>43982</v>
      </c>
      <c r="G499" t="s">
        <v>1559</v>
      </c>
      <c r="H499" t="s">
        <v>1560</v>
      </c>
      <c r="I499" t="s">
        <v>51</v>
      </c>
      <c r="J499">
        <v>35945.879999999997</v>
      </c>
      <c r="K499">
        <v>146</v>
      </c>
      <c r="L499" t="s">
        <v>40</v>
      </c>
      <c r="M499" s="1">
        <v>44010</v>
      </c>
      <c r="N499" t="s">
        <v>41</v>
      </c>
      <c r="O499" t="s">
        <v>42</v>
      </c>
      <c r="P499">
        <v>28</v>
      </c>
      <c r="Q499" t="s">
        <v>53</v>
      </c>
      <c r="R499" t="s">
        <v>44</v>
      </c>
      <c r="S499">
        <v>5</v>
      </c>
      <c r="T499">
        <v>2020</v>
      </c>
      <c r="U499" t="s">
        <v>90</v>
      </c>
    </row>
    <row r="500" spans="1:21" x14ac:dyDescent="0.3">
      <c r="A500" t="s">
        <v>1561</v>
      </c>
      <c r="B500">
        <v>82</v>
      </c>
      <c r="C500" t="s">
        <v>47</v>
      </c>
      <c r="D500" t="s">
        <v>64</v>
      </c>
      <c r="E500" t="s">
        <v>96</v>
      </c>
      <c r="F500" s="1">
        <v>43917</v>
      </c>
      <c r="G500" t="s">
        <v>1562</v>
      </c>
      <c r="H500" t="s">
        <v>1563</v>
      </c>
      <c r="I500" t="s">
        <v>39</v>
      </c>
      <c r="J500">
        <v>10780.74</v>
      </c>
      <c r="K500">
        <v>472</v>
      </c>
      <c r="L500" t="s">
        <v>40</v>
      </c>
      <c r="M500" s="1">
        <v>43925</v>
      </c>
      <c r="N500" t="s">
        <v>41</v>
      </c>
      <c r="O500" t="s">
        <v>42</v>
      </c>
      <c r="P500">
        <v>8</v>
      </c>
      <c r="Q500" t="s">
        <v>53</v>
      </c>
      <c r="R500" t="s">
        <v>32</v>
      </c>
      <c r="S500">
        <v>3</v>
      </c>
      <c r="T500">
        <v>2020</v>
      </c>
      <c r="U500" t="s">
        <v>122</v>
      </c>
    </row>
    <row r="501" spans="1:21" x14ac:dyDescent="0.3">
      <c r="A501" t="s">
        <v>1564</v>
      </c>
      <c r="B501">
        <v>32</v>
      </c>
      <c r="C501" t="s">
        <v>47</v>
      </c>
      <c r="D501" t="s">
        <v>149</v>
      </c>
      <c r="E501" t="s">
        <v>115</v>
      </c>
      <c r="F501" s="1">
        <v>43822</v>
      </c>
      <c r="G501" t="s">
        <v>1565</v>
      </c>
      <c r="H501" t="s">
        <v>1566</v>
      </c>
      <c r="I501" t="s">
        <v>51</v>
      </c>
      <c r="J501">
        <v>28743</v>
      </c>
      <c r="K501">
        <v>493</v>
      </c>
      <c r="L501" t="s">
        <v>60</v>
      </c>
      <c r="M501" s="1">
        <v>43829</v>
      </c>
      <c r="N501" t="s">
        <v>67</v>
      </c>
      <c r="O501" t="s">
        <v>30</v>
      </c>
      <c r="P501">
        <v>7</v>
      </c>
      <c r="Q501" t="s">
        <v>31</v>
      </c>
      <c r="R501" t="s">
        <v>32</v>
      </c>
      <c r="S501">
        <v>12</v>
      </c>
      <c r="T501">
        <v>2019</v>
      </c>
      <c r="U501" t="s">
        <v>74</v>
      </c>
    </row>
    <row r="502" spans="1:21" x14ac:dyDescent="0.3">
      <c r="A502" t="s">
        <v>1567</v>
      </c>
      <c r="B502">
        <v>76</v>
      </c>
      <c r="C502" t="s">
        <v>22</v>
      </c>
      <c r="D502" t="s">
        <v>48</v>
      </c>
      <c r="E502" t="s">
        <v>36</v>
      </c>
      <c r="F502" s="1">
        <v>45330</v>
      </c>
      <c r="G502" t="s">
        <v>1568</v>
      </c>
      <c r="H502" t="s">
        <v>1569</v>
      </c>
      <c r="I502" t="s">
        <v>27</v>
      </c>
      <c r="J502">
        <v>47270.25</v>
      </c>
      <c r="K502">
        <v>373</v>
      </c>
      <c r="L502" t="s">
        <v>60</v>
      </c>
      <c r="M502" s="1">
        <v>45338</v>
      </c>
      <c r="N502" t="s">
        <v>52</v>
      </c>
      <c r="O502" t="s">
        <v>61</v>
      </c>
      <c r="P502">
        <v>8</v>
      </c>
      <c r="Q502" t="s">
        <v>53</v>
      </c>
      <c r="R502" t="s">
        <v>44</v>
      </c>
      <c r="S502">
        <v>2</v>
      </c>
      <c r="T502">
        <v>2024</v>
      </c>
      <c r="U502" t="s">
        <v>278</v>
      </c>
    </row>
    <row r="503" spans="1:21" x14ac:dyDescent="0.3">
      <c r="A503" t="s">
        <v>1570</v>
      </c>
      <c r="B503">
        <v>61</v>
      </c>
      <c r="C503" t="s">
        <v>47</v>
      </c>
      <c r="D503" t="s">
        <v>48</v>
      </c>
      <c r="E503" t="s">
        <v>70</v>
      </c>
      <c r="F503" s="1">
        <v>45192</v>
      </c>
      <c r="G503" t="s">
        <v>1571</v>
      </c>
      <c r="H503" t="s">
        <v>1572</v>
      </c>
      <c r="I503" t="s">
        <v>51</v>
      </c>
      <c r="J503">
        <v>37846.35</v>
      </c>
      <c r="K503">
        <v>407</v>
      </c>
      <c r="L503" t="s">
        <v>40</v>
      </c>
      <c r="M503" s="1">
        <v>45193</v>
      </c>
      <c r="N503" t="s">
        <v>41</v>
      </c>
      <c r="O503" t="s">
        <v>61</v>
      </c>
      <c r="P503">
        <v>1</v>
      </c>
      <c r="Q503" t="s">
        <v>43</v>
      </c>
      <c r="R503" t="s">
        <v>44</v>
      </c>
      <c r="S503">
        <v>9</v>
      </c>
      <c r="T503">
        <v>2023</v>
      </c>
      <c r="U503" t="s">
        <v>54</v>
      </c>
    </row>
    <row r="504" spans="1:21" x14ac:dyDescent="0.3">
      <c r="A504" t="s">
        <v>1573</v>
      </c>
      <c r="B504">
        <v>63</v>
      </c>
      <c r="C504" t="s">
        <v>22</v>
      </c>
      <c r="D504" t="s">
        <v>64</v>
      </c>
      <c r="E504" t="s">
        <v>24</v>
      </c>
      <c r="F504" s="1">
        <v>43965</v>
      </c>
      <c r="G504" t="s">
        <v>1574</v>
      </c>
      <c r="H504" t="s">
        <v>1575</v>
      </c>
      <c r="I504" t="s">
        <v>51</v>
      </c>
      <c r="J504">
        <v>46502.77</v>
      </c>
      <c r="K504">
        <v>151</v>
      </c>
      <c r="L504" t="s">
        <v>60</v>
      </c>
      <c r="M504" s="1">
        <v>43971</v>
      </c>
      <c r="N504" t="s">
        <v>29</v>
      </c>
      <c r="O504" t="s">
        <v>42</v>
      </c>
      <c r="P504">
        <v>6</v>
      </c>
      <c r="Q504" t="s">
        <v>43</v>
      </c>
      <c r="R504" t="s">
        <v>44</v>
      </c>
      <c r="S504">
        <v>5</v>
      </c>
      <c r="T504">
        <v>2020</v>
      </c>
      <c r="U504" t="s">
        <v>90</v>
      </c>
    </row>
    <row r="505" spans="1:21" x14ac:dyDescent="0.3">
      <c r="A505" t="s">
        <v>1576</v>
      </c>
      <c r="B505">
        <v>54</v>
      </c>
      <c r="C505" t="s">
        <v>47</v>
      </c>
      <c r="D505" t="s">
        <v>127</v>
      </c>
      <c r="E505" t="s">
        <v>96</v>
      </c>
      <c r="F505" s="1">
        <v>43872</v>
      </c>
      <c r="G505" t="s">
        <v>1577</v>
      </c>
      <c r="H505" t="s">
        <v>1578</v>
      </c>
      <c r="I505" t="s">
        <v>51</v>
      </c>
      <c r="J505">
        <v>27660.29</v>
      </c>
      <c r="K505">
        <v>193</v>
      </c>
      <c r="L505" t="s">
        <v>28</v>
      </c>
      <c r="M505" s="1">
        <v>43891</v>
      </c>
      <c r="N505" t="s">
        <v>99</v>
      </c>
      <c r="O505" t="s">
        <v>30</v>
      </c>
      <c r="P505">
        <v>19</v>
      </c>
      <c r="Q505" t="s">
        <v>68</v>
      </c>
      <c r="R505" t="s">
        <v>32</v>
      </c>
      <c r="S505">
        <v>2</v>
      </c>
      <c r="T505">
        <v>2020</v>
      </c>
      <c r="U505" t="s">
        <v>278</v>
      </c>
    </row>
    <row r="506" spans="1:21" x14ac:dyDescent="0.3">
      <c r="A506" t="s">
        <v>1579</v>
      </c>
      <c r="B506">
        <v>77</v>
      </c>
      <c r="C506" t="s">
        <v>22</v>
      </c>
      <c r="D506" t="s">
        <v>64</v>
      </c>
      <c r="E506" t="s">
        <v>96</v>
      </c>
      <c r="F506" s="1">
        <v>44452</v>
      </c>
      <c r="G506" t="s">
        <v>1580</v>
      </c>
      <c r="H506" t="s">
        <v>1581</v>
      </c>
      <c r="I506" t="s">
        <v>73</v>
      </c>
      <c r="J506">
        <v>36686.660000000003</v>
      </c>
      <c r="K506">
        <v>488</v>
      </c>
      <c r="L506" t="s">
        <v>28</v>
      </c>
      <c r="M506" s="1">
        <v>44478</v>
      </c>
      <c r="N506" t="s">
        <v>29</v>
      </c>
      <c r="O506" t="s">
        <v>30</v>
      </c>
      <c r="P506">
        <v>26</v>
      </c>
      <c r="Q506" t="s">
        <v>53</v>
      </c>
      <c r="R506" t="s">
        <v>44</v>
      </c>
      <c r="S506">
        <v>9</v>
      </c>
      <c r="T506">
        <v>2021</v>
      </c>
      <c r="U506" t="s">
        <v>54</v>
      </c>
    </row>
    <row r="507" spans="1:21" x14ac:dyDescent="0.3">
      <c r="A507" t="s">
        <v>1582</v>
      </c>
      <c r="B507">
        <v>64</v>
      </c>
      <c r="C507" t="s">
        <v>22</v>
      </c>
      <c r="D507" t="s">
        <v>127</v>
      </c>
      <c r="E507" t="s">
        <v>57</v>
      </c>
      <c r="F507" s="1">
        <v>44128</v>
      </c>
      <c r="G507" t="s">
        <v>1583</v>
      </c>
      <c r="H507" t="s">
        <v>1584</v>
      </c>
      <c r="I507" t="s">
        <v>51</v>
      </c>
      <c r="J507">
        <v>19563.2</v>
      </c>
      <c r="K507">
        <v>148</v>
      </c>
      <c r="L507" t="s">
        <v>28</v>
      </c>
      <c r="M507" s="1">
        <v>44129</v>
      </c>
      <c r="N507" t="s">
        <v>67</v>
      </c>
      <c r="O507" t="s">
        <v>30</v>
      </c>
      <c r="P507">
        <v>1</v>
      </c>
      <c r="Q507" t="s">
        <v>43</v>
      </c>
      <c r="R507" t="s">
        <v>32</v>
      </c>
      <c r="S507">
        <v>10</v>
      </c>
      <c r="T507">
        <v>2020</v>
      </c>
      <c r="U507" t="s">
        <v>110</v>
      </c>
    </row>
    <row r="508" spans="1:21" x14ac:dyDescent="0.3">
      <c r="A508" t="s">
        <v>1585</v>
      </c>
      <c r="B508">
        <v>69</v>
      </c>
      <c r="C508" t="s">
        <v>22</v>
      </c>
      <c r="D508" t="s">
        <v>127</v>
      </c>
      <c r="E508" t="s">
        <v>115</v>
      </c>
      <c r="F508" s="1">
        <v>44194</v>
      </c>
      <c r="G508" t="s">
        <v>1586</v>
      </c>
      <c r="H508" t="s">
        <v>1587</v>
      </c>
      <c r="I508" t="s">
        <v>51</v>
      </c>
      <c r="J508">
        <v>23523.599999999999</v>
      </c>
      <c r="K508">
        <v>106</v>
      </c>
      <c r="L508" t="s">
        <v>60</v>
      </c>
      <c r="M508" s="1">
        <v>44217</v>
      </c>
      <c r="N508" t="s">
        <v>52</v>
      </c>
      <c r="O508" t="s">
        <v>42</v>
      </c>
      <c r="P508">
        <v>23</v>
      </c>
      <c r="Q508" t="s">
        <v>43</v>
      </c>
      <c r="R508" t="s">
        <v>32</v>
      </c>
      <c r="S508">
        <v>12</v>
      </c>
      <c r="T508">
        <v>2020</v>
      </c>
      <c r="U508" t="s">
        <v>74</v>
      </c>
    </row>
    <row r="509" spans="1:21" x14ac:dyDescent="0.3">
      <c r="A509" t="s">
        <v>1588</v>
      </c>
      <c r="B509">
        <v>31</v>
      </c>
      <c r="C509" t="s">
        <v>22</v>
      </c>
      <c r="D509" t="s">
        <v>56</v>
      </c>
      <c r="E509" t="s">
        <v>24</v>
      </c>
      <c r="F509" s="1">
        <v>45370</v>
      </c>
      <c r="G509" t="s">
        <v>1589</v>
      </c>
      <c r="H509" t="s">
        <v>1590</v>
      </c>
      <c r="I509" t="s">
        <v>82</v>
      </c>
      <c r="J509">
        <v>50563.8</v>
      </c>
      <c r="K509">
        <v>441</v>
      </c>
      <c r="L509" t="s">
        <v>28</v>
      </c>
      <c r="M509" s="1">
        <v>45389</v>
      </c>
      <c r="N509" t="s">
        <v>67</v>
      </c>
      <c r="O509" t="s">
        <v>42</v>
      </c>
      <c r="P509">
        <v>19</v>
      </c>
      <c r="Q509" t="s">
        <v>31</v>
      </c>
      <c r="R509" t="s">
        <v>44</v>
      </c>
      <c r="S509">
        <v>3</v>
      </c>
      <c r="T509">
        <v>2024</v>
      </c>
      <c r="U509" t="s">
        <v>122</v>
      </c>
    </row>
    <row r="510" spans="1:21" x14ac:dyDescent="0.3">
      <c r="A510" t="s">
        <v>1591</v>
      </c>
      <c r="B510">
        <v>40</v>
      </c>
      <c r="C510" t="s">
        <v>22</v>
      </c>
      <c r="D510" t="s">
        <v>149</v>
      </c>
      <c r="E510" t="s">
        <v>115</v>
      </c>
      <c r="F510" s="1">
        <v>44543</v>
      </c>
      <c r="G510" t="s">
        <v>1592</v>
      </c>
      <c r="H510" t="s">
        <v>1593</v>
      </c>
      <c r="I510" t="s">
        <v>73</v>
      </c>
      <c r="J510">
        <v>15518.46</v>
      </c>
      <c r="K510">
        <v>450</v>
      </c>
      <c r="L510" t="s">
        <v>40</v>
      </c>
      <c r="M510" s="1">
        <v>44549</v>
      </c>
      <c r="N510" t="s">
        <v>67</v>
      </c>
      <c r="O510" t="s">
        <v>61</v>
      </c>
      <c r="P510">
        <v>6</v>
      </c>
      <c r="Q510" t="s">
        <v>68</v>
      </c>
      <c r="R510" t="s">
        <v>32</v>
      </c>
      <c r="S510">
        <v>12</v>
      </c>
      <c r="T510">
        <v>2021</v>
      </c>
      <c r="U510" t="s">
        <v>74</v>
      </c>
    </row>
    <row r="511" spans="1:21" x14ac:dyDescent="0.3">
      <c r="A511" t="s">
        <v>1594</v>
      </c>
      <c r="B511">
        <v>50</v>
      </c>
      <c r="C511" t="s">
        <v>22</v>
      </c>
      <c r="D511" t="s">
        <v>149</v>
      </c>
      <c r="E511" t="s">
        <v>70</v>
      </c>
      <c r="F511" s="1">
        <v>44698</v>
      </c>
      <c r="G511" t="s">
        <v>1595</v>
      </c>
      <c r="H511" t="s">
        <v>1596</v>
      </c>
      <c r="I511" t="s">
        <v>82</v>
      </c>
      <c r="J511">
        <v>42150.7</v>
      </c>
      <c r="K511">
        <v>388</v>
      </c>
      <c r="L511" t="s">
        <v>28</v>
      </c>
      <c r="M511" s="1">
        <v>44715</v>
      </c>
      <c r="N511" t="s">
        <v>29</v>
      </c>
      <c r="O511" t="s">
        <v>61</v>
      </c>
      <c r="P511">
        <v>17</v>
      </c>
      <c r="Q511" t="s">
        <v>68</v>
      </c>
      <c r="R511" t="s">
        <v>44</v>
      </c>
      <c r="S511">
        <v>5</v>
      </c>
      <c r="T511">
        <v>2022</v>
      </c>
      <c r="U511" t="s">
        <v>90</v>
      </c>
    </row>
    <row r="512" spans="1:21" x14ac:dyDescent="0.3">
      <c r="A512" t="s">
        <v>1597</v>
      </c>
      <c r="B512">
        <v>83</v>
      </c>
      <c r="C512" t="s">
        <v>47</v>
      </c>
      <c r="D512" t="s">
        <v>48</v>
      </c>
      <c r="E512" t="s">
        <v>115</v>
      </c>
      <c r="F512" s="1">
        <v>44896</v>
      </c>
      <c r="G512" t="s">
        <v>1598</v>
      </c>
      <c r="H512" t="s">
        <v>1599</v>
      </c>
      <c r="I512" t="s">
        <v>82</v>
      </c>
      <c r="J512">
        <v>42192.99</v>
      </c>
      <c r="K512">
        <v>199</v>
      </c>
      <c r="L512" t="s">
        <v>40</v>
      </c>
      <c r="M512" s="1">
        <v>44912</v>
      </c>
      <c r="N512" t="s">
        <v>29</v>
      </c>
      <c r="O512" t="s">
        <v>61</v>
      </c>
      <c r="P512">
        <v>16</v>
      </c>
      <c r="Q512" t="s">
        <v>53</v>
      </c>
      <c r="R512" t="s">
        <v>44</v>
      </c>
      <c r="S512">
        <v>12</v>
      </c>
      <c r="T512">
        <v>2022</v>
      </c>
      <c r="U512" t="s">
        <v>74</v>
      </c>
    </row>
    <row r="513" spans="1:21" x14ac:dyDescent="0.3">
      <c r="A513" t="s">
        <v>1600</v>
      </c>
      <c r="B513">
        <v>23</v>
      </c>
      <c r="C513" t="s">
        <v>47</v>
      </c>
      <c r="D513" t="s">
        <v>149</v>
      </c>
      <c r="E513" t="s">
        <v>24</v>
      </c>
      <c r="F513" s="1">
        <v>43906</v>
      </c>
      <c r="G513" t="s">
        <v>1601</v>
      </c>
      <c r="H513" t="s">
        <v>1602</v>
      </c>
      <c r="I513" t="s">
        <v>27</v>
      </c>
      <c r="J513">
        <v>3925.93</v>
      </c>
      <c r="K513">
        <v>333</v>
      </c>
      <c r="L513" t="s">
        <v>40</v>
      </c>
      <c r="M513" s="1">
        <v>43912</v>
      </c>
      <c r="N513" t="s">
        <v>99</v>
      </c>
      <c r="O513" t="s">
        <v>30</v>
      </c>
      <c r="P513">
        <v>6</v>
      </c>
      <c r="Q513" t="s">
        <v>31</v>
      </c>
      <c r="R513" t="s">
        <v>100</v>
      </c>
      <c r="S513">
        <v>3</v>
      </c>
      <c r="T513">
        <v>2020</v>
      </c>
      <c r="U513" t="s">
        <v>122</v>
      </c>
    </row>
    <row r="514" spans="1:21" x14ac:dyDescent="0.3">
      <c r="A514" t="s">
        <v>1603</v>
      </c>
      <c r="B514">
        <v>68</v>
      </c>
      <c r="C514" t="s">
        <v>47</v>
      </c>
      <c r="D514" t="s">
        <v>64</v>
      </c>
      <c r="E514" t="s">
        <v>115</v>
      </c>
      <c r="F514" s="1">
        <v>44124</v>
      </c>
      <c r="G514" t="s">
        <v>1604</v>
      </c>
      <c r="H514" t="s">
        <v>1605</v>
      </c>
      <c r="I514" t="s">
        <v>51</v>
      </c>
      <c r="J514">
        <v>12605.75</v>
      </c>
      <c r="K514">
        <v>350</v>
      </c>
      <c r="L514" t="s">
        <v>40</v>
      </c>
      <c r="M514" s="1">
        <v>44131</v>
      </c>
      <c r="N514" t="s">
        <v>29</v>
      </c>
      <c r="O514" t="s">
        <v>42</v>
      </c>
      <c r="P514">
        <v>7</v>
      </c>
      <c r="Q514" t="s">
        <v>43</v>
      </c>
      <c r="R514" t="s">
        <v>32</v>
      </c>
      <c r="S514">
        <v>10</v>
      </c>
      <c r="T514">
        <v>2020</v>
      </c>
      <c r="U514" t="s">
        <v>110</v>
      </c>
    </row>
    <row r="515" spans="1:21" x14ac:dyDescent="0.3">
      <c r="A515" t="s">
        <v>1606</v>
      </c>
      <c r="B515">
        <v>37</v>
      </c>
      <c r="C515" t="s">
        <v>22</v>
      </c>
      <c r="D515" t="s">
        <v>76</v>
      </c>
      <c r="E515" t="s">
        <v>70</v>
      </c>
      <c r="F515" s="1">
        <v>45296</v>
      </c>
      <c r="G515" t="s">
        <v>1607</v>
      </c>
      <c r="H515" t="s">
        <v>1608</v>
      </c>
      <c r="I515" t="s">
        <v>27</v>
      </c>
      <c r="J515">
        <v>7421.18</v>
      </c>
      <c r="K515">
        <v>154</v>
      </c>
      <c r="L515" t="s">
        <v>28</v>
      </c>
      <c r="M515" s="1">
        <v>45318</v>
      </c>
      <c r="N515" t="s">
        <v>67</v>
      </c>
      <c r="O515" t="s">
        <v>42</v>
      </c>
      <c r="P515">
        <v>22</v>
      </c>
      <c r="Q515" t="s">
        <v>68</v>
      </c>
      <c r="R515" t="s">
        <v>100</v>
      </c>
      <c r="S515">
        <v>1</v>
      </c>
      <c r="T515">
        <v>2024</v>
      </c>
      <c r="U515" t="s">
        <v>33</v>
      </c>
    </row>
    <row r="516" spans="1:21" x14ac:dyDescent="0.3">
      <c r="A516" t="s">
        <v>1609</v>
      </c>
      <c r="B516">
        <v>24</v>
      </c>
      <c r="C516" t="s">
        <v>47</v>
      </c>
      <c r="D516" t="s">
        <v>23</v>
      </c>
      <c r="E516" t="s">
        <v>115</v>
      </c>
      <c r="F516" s="1">
        <v>45155</v>
      </c>
      <c r="G516" t="s">
        <v>1610</v>
      </c>
      <c r="H516" t="s">
        <v>1611</v>
      </c>
      <c r="I516" t="s">
        <v>82</v>
      </c>
      <c r="J516">
        <v>24561.74</v>
      </c>
      <c r="K516">
        <v>216</v>
      </c>
      <c r="L516" t="s">
        <v>40</v>
      </c>
      <c r="M516" s="1">
        <v>45170</v>
      </c>
      <c r="N516" t="s">
        <v>52</v>
      </c>
      <c r="O516" t="s">
        <v>61</v>
      </c>
      <c r="P516">
        <v>15</v>
      </c>
      <c r="Q516" t="s">
        <v>31</v>
      </c>
      <c r="R516" t="s">
        <v>32</v>
      </c>
      <c r="S516">
        <v>8</v>
      </c>
      <c r="T516">
        <v>2023</v>
      </c>
      <c r="U516" t="s">
        <v>45</v>
      </c>
    </row>
    <row r="517" spans="1:21" x14ac:dyDescent="0.3">
      <c r="A517" t="s">
        <v>1612</v>
      </c>
      <c r="B517">
        <v>21</v>
      </c>
      <c r="C517" t="s">
        <v>22</v>
      </c>
      <c r="D517" t="s">
        <v>23</v>
      </c>
      <c r="E517" t="s">
        <v>57</v>
      </c>
      <c r="F517" s="1">
        <v>45016</v>
      </c>
      <c r="G517" t="s">
        <v>1613</v>
      </c>
      <c r="H517" t="s">
        <v>1614</v>
      </c>
      <c r="I517" t="s">
        <v>82</v>
      </c>
      <c r="J517">
        <v>32854.15</v>
      </c>
      <c r="K517">
        <v>132</v>
      </c>
      <c r="L517" t="s">
        <v>40</v>
      </c>
      <c r="M517" s="1">
        <v>45038</v>
      </c>
      <c r="N517" t="s">
        <v>99</v>
      </c>
      <c r="O517" t="s">
        <v>61</v>
      </c>
      <c r="P517">
        <v>22</v>
      </c>
      <c r="Q517" t="s">
        <v>31</v>
      </c>
      <c r="R517" t="s">
        <v>44</v>
      </c>
      <c r="S517">
        <v>3</v>
      </c>
      <c r="T517">
        <v>2023</v>
      </c>
      <c r="U517" t="s">
        <v>122</v>
      </c>
    </row>
    <row r="518" spans="1:21" x14ac:dyDescent="0.3">
      <c r="A518" t="s">
        <v>1615</v>
      </c>
      <c r="B518">
        <v>46</v>
      </c>
      <c r="C518" t="s">
        <v>47</v>
      </c>
      <c r="D518" t="s">
        <v>76</v>
      </c>
      <c r="E518" t="s">
        <v>57</v>
      </c>
      <c r="F518" s="1">
        <v>44886</v>
      </c>
      <c r="G518" t="s">
        <v>1616</v>
      </c>
      <c r="H518" t="s">
        <v>1617</v>
      </c>
      <c r="I518" t="s">
        <v>51</v>
      </c>
      <c r="J518">
        <v>18828.759999999998</v>
      </c>
      <c r="K518">
        <v>194</v>
      </c>
      <c r="L518" t="s">
        <v>60</v>
      </c>
      <c r="M518" s="1">
        <v>44887</v>
      </c>
      <c r="N518" t="s">
        <v>41</v>
      </c>
      <c r="O518" t="s">
        <v>61</v>
      </c>
      <c r="P518">
        <v>1</v>
      </c>
      <c r="Q518" t="s">
        <v>68</v>
      </c>
      <c r="R518" t="s">
        <v>32</v>
      </c>
      <c r="S518">
        <v>11</v>
      </c>
      <c r="T518">
        <v>2022</v>
      </c>
      <c r="U518" t="s">
        <v>62</v>
      </c>
    </row>
    <row r="519" spans="1:21" x14ac:dyDescent="0.3">
      <c r="A519" t="s">
        <v>1618</v>
      </c>
      <c r="B519">
        <v>61</v>
      </c>
      <c r="C519" t="s">
        <v>47</v>
      </c>
      <c r="D519" t="s">
        <v>127</v>
      </c>
      <c r="E519" t="s">
        <v>115</v>
      </c>
      <c r="F519" s="1">
        <v>44067</v>
      </c>
      <c r="G519" t="s">
        <v>1619</v>
      </c>
      <c r="H519" t="s">
        <v>1620</v>
      </c>
      <c r="I519" t="s">
        <v>51</v>
      </c>
      <c r="J519">
        <v>34381.69</v>
      </c>
      <c r="K519">
        <v>330</v>
      </c>
      <c r="L519" t="s">
        <v>28</v>
      </c>
      <c r="M519" s="1">
        <v>44080</v>
      </c>
      <c r="N519" t="s">
        <v>99</v>
      </c>
      <c r="O519" t="s">
        <v>42</v>
      </c>
      <c r="P519">
        <v>13</v>
      </c>
      <c r="Q519" t="s">
        <v>43</v>
      </c>
      <c r="R519" t="s">
        <v>44</v>
      </c>
      <c r="S519">
        <v>8</v>
      </c>
      <c r="T519">
        <v>2020</v>
      </c>
      <c r="U519" t="s">
        <v>45</v>
      </c>
    </row>
    <row r="520" spans="1:21" x14ac:dyDescent="0.3">
      <c r="A520" t="s">
        <v>1621</v>
      </c>
      <c r="B520">
        <v>25</v>
      </c>
      <c r="C520" t="s">
        <v>22</v>
      </c>
      <c r="D520" t="s">
        <v>149</v>
      </c>
      <c r="E520" t="s">
        <v>115</v>
      </c>
      <c r="F520" s="1">
        <v>44604</v>
      </c>
      <c r="G520" t="s">
        <v>1622</v>
      </c>
      <c r="H520" t="s">
        <v>1623</v>
      </c>
      <c r="I520" t="s">
        <v>51</v>
      </c>
      <c r="J520">
        <v>31501.72</v>
      </c>
      <c r="K520">
        <v>475</v>
      </c>
      <c r="L520" t="s">
        <v>60</v>
      </c>
      <c r="M520" s="1">
        <v>44623</v>
      </c>
      <c r="N520" t="s">
        <v>41</v>
      </c>
      <c r="O520" t="s">
        <v>42</v>
      </c>
      <c r="P520">
        <v>19</v>
      </c>
      <c r="Q520" t="s">
        <v>31</v>
      </c>
      <c r="R520" t="s">
        <v>44</v>
      </c>
      <c r="S520">
        <v>2</v>
      </c>
      <c r="T520">
        <v>2022</v>
      </c>
      <c r="U520" t="s">
        <v>278</v>
      </c>
    </row>
    <row r="521" spans="1:21" x14ac:dyDescent="0.3">
      <c r="A521" t="s">
        <v>1624</v>
      </c>
      <c r="B521">
        <v>75</v>
      </c>
      <c r="C521" t="s">
        <v>47</v>
      </c>
      <c r="D521" t="s">
        <v>48</v>
      </c>
      <c r="E521" t="s">
        <v>115</v>
      </c>
      <c r="F521" s="1">
        <v>45153</v>
      </c>
      <c r="G521" t="s">
        <v>1625</v>
      </c>
      <c r="H521" t="s">
        <v>1626</v>
      </c>
      <c r="I521" t="s">
        <v>39</v>
      </c>
      <c r="J521">
        <v>12098.03</v>
      </c>
      <c r="K521">
        <v>387</v>
      </c>
      <c r="L521" t="s">
        <v>60</v>
      </c>
      <c r="M521" s="1">
        <v>45173</v>
      </c>
      <c r="N521" t="s">
        <v>99</v>
      </c>
      <c r="O521" t="s">
        <v>61</v>
      </c>
      <c r="P521">
        <v>20</v>
      </c>
      <c r="Q521" t="s">
        <v>53</v>
      </c>
      <c r="R521" t="s">
        <v>32</v>
      </c>
      <c r="S521">
        <v>8</v>
      </c>
      <c r="T521">
        <v>2023</v>
      </c>
      <c r="U521" t="s">
        <v>45</v>
      </c>
    </row>
    <row r="522" spans="1:21" x14ac:dyDescent="0.3">
      <c r="A522" t="s">
        <v>1627</v>
      </c>
      <c r="B522">
        <v>43</v>
      </c>
      <c r="C522" t="s">
        <v>47</v>
      </c>
      <c r="D522" t="s">
        <v>149</v>
      </c>
      <c r="E522" t="s">
        <v>57</v>
      </c>
      <c r="F522" s="1">
        <v>44939</v>
      </c>
      <c r="G522" t="s">
        <v>1628</v>
      </c>
      <c r="H522" t="s">
        <v>1629</v>
      </c>
      <c r="I522" t="s">
        <v>73</v>
      </c>
      <c r="J522">
        <v>39547.379999999997</v>
      </c>
      <c r="K522">
        <v>436</v>
      </c>
      <c r="L522" t="s">
        <v>60</v>
      </c>
      <c r="M522" s="1">
        <v>44958</v>
      </c>
      <c r="N522" t="s">
        <v>29</v>
      </c>
      <c r="O522" t="s">
        <v>42</v>
      </c>
      <c r="P522">
        <v>19</v>
      </c>
      <c r="Q522" t="s">
        <v>68</v>
      </c>
      <c r="R522" t="s">
        <v>44</v>
      </c>
      <c r="S522">
        <v>1</v>
      </c>
      <c r="T522">
        <v>2023</v>
      </c>
      <c r="U522" t="s">
        <v>33</v>
      </c>
    </row>
    <row r="523" spans="1:21" x14ac:dyDescent="0.3">
      <c r="A523" t="s">
        <v>1630</v>
      </c>
      <c r="B523">
        <v>38</v>
      </c>
      <c r="C523" t="s">
        <v>47</v>
      </c>
      <c r="D523" t="s">
        <v>23</v>
      </c>
      <c r="E523" t="s">
        <v>36</v>
      </c>
      <c r="F523" s="1">
        <v>43949</v>
      </c>
      <c r="G523" t="s">
        <v>1631</v>
      </c>
      <c r="H523" t="s">
        <v>1632</v>
      </c>
      <c r="I523" t="s">
        <v>51</v>
      </c>
      <c r="J523">
        <v>6486.24</v>
      </c>
      <c r="K523">
        <v>283</v>
      </c>
      <c r="L523" t="s">
        <v>60</v>
      </c>
      <c r="M523" s="1">
        <v>43971</v>
      </c>
      <c r="N523" t="s">
        <v>52</v>
      </c>
      <c r="O523" t="s">
        <v>61</v>
      </c>
      <c r="P523">
        <v>22</v>
      </c>
      <c r="Q523" t="s">
        <v>68</v>
      </c>
      <c r="R523" t="s">
        <v>100</v>
      </c>
      <c r="S523">
        <v>4</v>
      </c>
      <c r="T523">
        <v>2020</v>
      </c>
      <c r="U523" t="s">
        <v>94</v>
      </c>
    </row>
    <row r="524" spans="1:21" x14ac:dyDescent="0.3">
      <c r="A524" t="s">
        <v>1633</v>
      </c>
      <c r="B524">
        <v>28</v>
      </c>
      <c r="C524" t="s">
        <v>22</v>
      </c>
      <c r="D524" t="s">
        <v>64</v>
      </c>
      <c r="E524" t="s">
        <v>115</v>
      </c>
      <c r="F524" s="1">
        <v>44855</v>
      </c>
      <c r="G524" t="s">
        <v>1634</v>
      </c>
      <c r="H524" t="s">
        <v>1635</v>
      </c>
      <c r="I524" t="s">
        <v>39</v>
      </c>
      <c r="J524">
        <v>46657.69</v>
      </c>
      <c r="K524">
        <v>265</v>
      </c>
      <c r="L524" t="s">
        <v>28</v>
      </c>
      <c r="M524" s="1">
        <v>44856</v>
      </c>
      <c r="N524" t="s">
        <v>67</v>
      </c>
      <c r="O524" t="s">
        <v>42</v>
      </c>
      <c r="P524">
        <v>1</v>
      </c>
      <c r="Q524" t="s">
        <v>31</v>
      </c>
      <c r="R524" t="s">
        <v>44</v>
      </c>
      <c r="S524">
        <v>10</v>
      </c>
      <c r="T524">
        <v>2022</v>
      </c>
      <c r="U524" t="s">
        <v>110</v>
      </c>
    </row>
    <row r="525" spans="1:21" x14ac:dyDescent="0.3">
      <c r="A525" t="s">
        <v>1636</v>
      </c>
      <c r="B525">
        <v>80</v>
      </c>
      <c r="C525" t="s">
        <v>22</v>
      </c>
      <c r="D525" t="s">
        <v>56</v>
      </c>
      <c r="E525" t="s">
        <v>96</v>
      </c>
      <c r="F525" s="1">
        <v>44910</v>
      </c>
      <c r="G525" t="s">
        <v>1637</v>
      </c>
      <c r="H525" t="s">
        <v>1638</v>
      </c>
      <c r="I525" t="s">
        <v>51</v>
      </c>
      <c r="J525">
        <v>31709.47</v>
      </c>
      <c r="K525">
        <v>168</v>
      </c>
      <c r="L525" t="s">
        <v>28</v>
      </c>
      <c r="M525" s="1">
        <v>44920</v>
      </c>
      <c r="N525" t="s">
        <v>29</v>
      </c>
      <c r="O525" t="s">
        <v>61</v>
      </c>
      <c r="P525">
        <v>10</v>
      </c>
      <c r="Q525" t="s">
        <v>53</v>
      </c>
      <c r="R525" t="s">
        <v>44</v>
      </c>
      <c r="S525">
        <v>12</v>
      </c>
      <c r="T525">
        <v>2022</v>
      </c>
      <c r="U525" t="s">
        <v>74</v>
      </c>
    </row>
    <row r="526" spans="1:21" x14ac:dyDescent="0.3">
      <c r="A526" t="s">
        <v>1639</v>
      </c>
      <c r="B526">
        <v>63</v>
      </c>
      <c r="C526" t="s">
        <v>47</v>
      </c>
      <c r="D526" t="s">
        <v>56</v>
      </c>
      <c r="E526" t="s">
        <v>70</v>
      </c>
      <c r="F526" s="1">
        <v>44075</v>
      </c>
      <c r="G526" t="s">
        <v>1640</v>
      </c>
      <c r="H526" t="s">
        <v>1641</v>
      </c>
      <c r="I526" t="s">
        <v>27</v>
      </c>
      <c r="J526">
        <v>9894.81</v>
      </c>
      <c r="K526">
        <v>403</v>
      </c>
      <c r="L526" t="s">
        <v>40</v>
      </c>
      <c r="M526" s="1">
        <v>44105</v>
      </c>
      <c r="N526" t="s">
        <v>41</v>
      </c>
      <c r="O526" t="s">
        <v>42</v>
      </c>
      <c r="P526">
        <v>30</v>
      </c>
      <c r="Q526" t="s">
        <v>43</v>
      </c>
      <c r="R526" t="s">
        <v>100</v>
      </c>
      <c r="S526">
        <v>9</v>
      </c>
      <c r="T526">
        <v>2020</v>
      </c>
      <c r="U526" t="s">
        <v>54</v>
      </c>
    </row>
    <row r="527" spans="1:21" x14ac:dyDescent="0.3">
      <c r="A527" t="s">
        <v>1642</v>
      </c>
      <c r="B527">
        <v>75</v>
      </c>
      <c r="C527" t="s">
        <v>47</v>
      </c>
      <c r="D527" t="s">
        <v>76</v>
      </c>
      <c r="E527" t="s">
        <v>24</v>
      </c>
      <c r="F527" s="1">
        <v>43787</v>
      </c>
      <c r="G527" t="s">
        <v>1643</v>
      </c>
      <c r="H527" t="s">
        <v>1644</v>
      </c>
      <c r="I527" t="s">
        <v>27</v>
      </c>
      <c r="J527">
        <v>29995.43</v>
      </c>
      <c r="K527">
        <v>433</v>
      </c>
      <c r="L527" t="s">
        <v>40</v>
      </c>
      <c r="M527" s="1">
        <v>43810</v>
      </c>
      <c r="N527" t="s">
        <v>29</v>
      </c>
      <c r="O527" t="s">
        <v>61</v>
      </c>
      <c r="P527">
        <v>23</v>
      </c>
      <c r="Q527" t="s">
        <v>53</v>
      </c>
      <c r="R527" t="s">
        <v>32</v>
      </c>
      <c r="S527">
        <v>11</v>
      </c>
      <c r="T527">
        <v>2019</v>
      </c>
      <c r="U527" t="s">
        <v>62</v>
      </c>
    </row>
    <row r="528" spans="1:21" x14ac:dyDescent="0.3">
      <c r="A528" t="s">
        <v>1645</v>
      </c>
      <c r="B528">
        <v>59</v>
      </c>
      <c r="C528" t="s">
        <v>47</v>
      </c>
      <c r="D528" t="s">
        <v>56</v>
      </c>
      <c r="E528" t="s">
        <v>115</v>
      </c>
      <c r="F528" s="1">
        <v>44795</v>
      </c>
      <c r="G528" t="s">
        <v>1646</v>
      </c>
      <c r="H528" t="s">
        <v>1647</v>
      </c>
      <c r="I528" t="s">
        <v>39</v>
      </c>
      <c r="J528">
        <v>7796.26</v>
      </c>
      <c r="K528">
        <v>144</v>
      </c>
      <c r="L528" t="s">
        <v>28</v>
      </c>
      <c r="M528" s="1">
        <v>44803</v>
      </c>
      <c r="N528" t="s">
        <v>41</v>
      </c>
      <c r="O528" t="s">
        <v>42</v>
      </c>
      <c r="P528">
        <v>8</v>
      </c>
      <c r="Q528" t="s">
        <v>43</v>
      </c>
      <c r="R528" t="s">
        <v>100</v>
      </c>
      <c r="S528">
        <v>8</v>
      </c>
      <c r="T528">
        <v>2022</v>
      </c>
      <c r="U528" t="s">
        <v>45</v>
      </c>
    </row>
    <row r="529" spans="1:21" x14ac:dyDescent="0.3">
      <c r="A529" t="s">
        <v>1648</v>
      </c>
      <c r="B529">
        <v>27</v>
      </c>
      <c r="C529" t="s">
        <v>22</v>
      </c>
      <c r="D529" t="s">
        <v>35</v>
      </c>
      <c r="E529" t="s">
        <v>57</v>
      </c>
      <c r="F529" s="1">
        <v>44044</v>
      </c>
      <c r="G529" t="s">
        <v>1649</v>
      </c>
      <c r="H529" t="s">
        <v>1650</v>
      </c>
      <c r="I529" t="s">
        <v>27</v>
      </c>
      <c r="J529">
        <v>48965.18</v>
      </c>
      <c r="K529">
        <v>251</v>
      </c>
      <c r="L529" t="s">
        <v>40</v>
      </c>
      <c r="M529" s="1">
        <v>44069</v>
      </c>
      <c r="N529" t="s">
        <v>52</v>
      </c>
      <c r="O529" t="s">
        <v>61</v>
      </c>
      <c r="P529">
        <v>25</v>
      </c>
      <c r="Q529" t="s">
        <v>31</v>
      </c>
      <c r="R529" t="s">
        <v>44</v>
      </c>
      <c r="S529">
        <v>8</v>
      </c>
      <c r="T529">
        <v>2020</v>
      </c>
      <c r="U529" t="s">
        <v>45</v>
      </c>
    </row>
    <row r="530" spans="1:21" x14ac:dyDescent="0.3">
      <c r="A530" t="s">
        <v>1651</v>
      </c>
      <c r="B530">
        <v>77</v>
      </c>
      <c r="C530" t="s">
        <v>22</v>
      </c>
      <c r="D530" t="s">
        <v>35</v>
      </c>
      <c r="E530" t="s">
        <v>115</v>
      </c>
      <c r="F530" s="1">
        <v>45309</v>
      </c>
      <c r="G530" t="s">
        <v>1652</v>
      </c>
      <c r="H530" t="s">
        <v>1653</v>
      </c>
      <c r="I530" t="s">
        <v>51</v>
      </c>
      <c r="J530">
        <v>16128.25</v>
      </c>
      <c r="K530">
        <v>404</v>
      </c>
      <c r="L530" t="s">
        <v>40</v>
      </c>
      <c r="M530" s="1">
        <v>45337</v>
      </c>
      <c r="N530" t="s">
        <v>67</v>
      </c>
      <c r="O530" t="s">
        <v>42</v>
      </c>
      <c r="P530">
        <v>28</v>
      </c>
      <c r="Q530" t="s">
        <v>53</v>
      </c>
      <c r="R530" t="s">
        <v>32</v>
      </c>
      <c r="S530">
        <v>1</v>
      </c>
      <c r="T530">
        <v>2024</v>
      </c>
      <c r="U530" t="s">
        <v>33</v>
      </c>
    </row>
    <row r="531" spans="1:21" x14ac:dyDescent="0.3">
      <c r="A531" t="s">
        <v>1654</v>
      </c>
      <c r="B531">
        <v>19</v>
      </c>
      <c r="C531" t="s">
        <v>47</v>
      </c>
      <c r="D531" t="s">
        <v>23</v>
      </c>
      <c r="E531" t="s">
        <v>70</v>
      </c>
      <c r="F531" s="1">
        <v>43907</v>
      </c>
      <c r="G531" t="s">
        <v>1655</v>
      </c>
      <c r="H531" t="s">
        <v>1656</v>
      </c>
      <c r="I531" t="s">
        <v>39</v>
      </c>
      <c r="J531">
        <v>16920.16</v>
      </c>
      <c r="K531">
        <v>206</v>
      </c>
      <c r="L531" t="s">
        <v>40</v>
      </c>
      <c r="M531" s="1">
        <v>43931</v>
      </c>
      <c r="N531" t="s">
        <v>99</v>
      </c>
      <c r="O531" t="s">
        <v>61</v>
      </c>
      <c r="P531">
        <v>24</v>
      </c>
      <c r="Q531" t="s">
        <v>31</v>
      </c>
      <c r="R531" t="s">
        <v>32</v>
      </c>
      <c r="S531">
        <v>3</v>
      </c>
      <c r="T531">
        <v>2020</v>
      </c>
      <c r="U531" t="s">
        <v>122</v>
      </c>
    </row>
    <row r="532" spans="1:21" x14ac:dyDescent="0.3">
      <c r="A532" t="s">
        <v>1657</v>
      </c>
      <c r="B532">
        <v>58</v>
      </c>
      <c r="C532" t="s">
        <v>22</v>
      </c>
      <c r="D532" t="s">
        <v>64</v>
      </c>
      <c r="E532" t="s">
        <v>115</v>
      </c>
      <c r="F532" s="1">
        <v>44788</v>
      </c>
      <c r="G532" t="s">
        <v>1658</v>
      </c>
      <c r="H532" t="s">
        <v>1659</v>
      </c>
      <c r="I532" t="s">
        <v>51</v>
      </c>
      <c r="J532">
        <v>49861.87</v>
      </c>
      <c r="K532">
        <v>207</v>
      </c>
      <c r="L532" t="s">
        <v>40</v>
      </c>
      <c r="M532" s="1">
        <v>44805</v>
      </c>
      <c r="N532" t="s">
        <v>41</v>
      </c>
      <c r="O532" t="s">
        <v>61</v>
      </c>
      <c r="P532">
        <v>17</v>
      </c>
      <c r="Q532" t="s">
        <v>43</v>
      </c>
      <c r="R532" t="s">
        <v>44</v>
      </c>
      <c r="S532">
        <v>8</v>
      </c>
      <c r="T532">
        <v>2022</v>
      </c>
      <c r="U532" t="s">
        <v>45</v>
      </c>
    </row>
    <row r="533" spans="1:21" x14ac:dyDescent="0.3">
      <c r="A533" t="s">
        <v>1660</v>
      </c>
      <c r="B533">
        <v>57</v>
      </c>
      <c r="C533" t="s">
        <v>22</v>
      </c>
      <c r="D533" t="s">
        <v>64</v>
      </c>
      <c r="E533" t="s">
        <v>24</v>
      </c>
      <c r="F533" s="1">
        <v>45061</v>
      </c>
      <c r="G533" t="s">
        <v>1661</v>
      </c>
      <c r="H533" t="s">
        <v>1662</v>
      </c>
      <c r="I533" t="s">
        <v>27</v>
      </c>
      <c r="J533">
        <v>36287.39</v>
      </c>
      <c r="K533">
        <v>263</v>
      </c>
      <c r="L533" t="s">
        <v>60</v>
      </c>
      <c r="M533" s="1">
        <v>45065</v>
      </c>
      <c r="N533" t="s">
        <v>99</v>
      </c>
      <c r="O533" t="s">
        <v>42</v>
      </c>
      <c r="P533">
        <v>4</v>
      </c>
      <c r="Q533" t="s">
        <v>43</v>
      </c>
      <c r="R533" t="s">
        <v>44</v>
      </c>
      <c r="S533">
        <v>5</v>
      </c>
      <c r="T533">
        <v>2023</v>
      </c>
      <c r="U533" t="s">
        <v>90</v>
      </c>
    </row>
    <row r="534" spans="1:21" x14ac:dyDescent="0.3">
      <c r="A534" t="s">
        <v>1663</v>
      </c>
      <c r="B534">
        <v>59</v>
      </c>
      <c r="C534" t="s">
        <v>22</v>
      </c>
      <c r="D534" t="s">
        <v>35</v>
      </c>
      <c r="E534" t="s">
        <v>96</v>
      </c>
      <c r="F534" s="1">
        <v>43643</v>
      </c>
      <c r="G534" t="s">
        <v>1664</v>
      </c>
      <c r="H534" t="s">
        <v>1665</v>
      </c>
      <c r="I534" t="s">
        <v>39</v>
      </c>
      <c r="J534">
        <v>48035.37</v>
      </c>
      <c r="K534">
        <v>414</v>
      </c>
      <c r="L534" t="s">
        <v>28</v>
      </c>
      <c r="M534" s="1">
        <v>43665</v>
      </c>
      <c r="N534" t="s">
        <v>41</v>
      </c>
      <c r="O534" t="s">
        <v>61</v>
      </c>
      <c r="P534">
        <v>22</v>
      </c>
      <c r="Q534" t="s">
        <v>43</v>
      </c>
      <c r="R534" t="s">
        <v>44</v>
      </c>
      <c r="S534">
        <v>6</v>
      </c>
      <c r="T534">
        <v>2019</v>
      </c>
      <c r="U534" t="s">
        <v>118</v>
      </c>
    </row>
    <row r="535" spans="1:21" x14ac:dyDescent="0.3">
      <c r="A535" t="s">
        <v>1666</v>
      </c>
      <c r="B535">
        <v>62</v>
      </c>
      <c r="C535" t="s">
        <v>22</v>
      </c>
      <c r="D535" t="s">
        <v>127</v>
      </c>
      <c r="E535" t="s">
        <v>96</v>
      </c>
      <c r="F535" s="1">
        <v>45228</v>
      </c>
      <c r="G535" t="s">
        <v>1667</v>
      </c>
      <c r="H535" t="s">
        <v>1668</v>
      </c>
      <c r="I535" t="s">
        <v>51</v>
      </c>
      <c r="J535">
        <v>22030.69</v>
      </c>
      <c r="K535">
        <v>132</v>
      </c>
      <c r="L535" t="s">
        <v>28</v>
      </c>
      <c r="M535" s="1">
        <v>45244</v>
      </c>
      <c r="N535" t="s">
        <v>99</v>
      </c>
      <c r="O535" t="s">
        <v>30</v>
      </c>
      <c r="P535">
        <v>16</v>
      </c>
      <c r="Q535" t="s">
        <v>43</v>
      </c>
      <c r="R535" t="s">
        <v>32</v>
      </c>
      <c r="S535">
        <v>10</v>
      </c>
      <c r="T535">
        <v>2023</v>
      </c>
      <c r="U535" t="s">
        <v>110</v>
      </c>
    </row>
    <row r="536" spans="1:21" x14ac:dyDescent="0.3">
      <c r="A536" t="s">
        <v>1669</v>
      </c>
      <c r="B536">
        <v>71</v>
      </c>
      <c r="C536" t="s">
        <v>22</v>
      </c>
      <c r="D536" t="s">
        <v>76</v>
      </c>
      <c r="E536" t="s">
        <v>57</v>
      </c>
      <c r="F536" s="1">
        <v>45300</v>
      </c>
      <c r="G536" t="s">
        <v>1670</v>
      </c>
      <c r="H536" t="s">
        <v>1671</v>
      </c>
      <c r="I536" t="s">
        <v>73</v>
      </c>
      <c r="J536">
        <v>45665.85</v>
      </c>
      <c r="K536">
        <v>387</v>
      </c>
      <c r="L536" t="s">
        <v>60</v>
      </c>
      <c r="M536" s="1">
        <v>45311</v>
      </c>
      <c r="N536" t="s">
        <v>67</v>
      </c>
      <c r="O536" t="s">
        <v>42</v>
      </c>
      <c r="P536">
        <v>11</v>
      </c>
      <c r="Q536" t="s">
        <v>53</v>
      </c>
      <c r="R536" t="s">
        <v>44</v>
      </c>
      <c r="S536">
        <v>1</v>
      </c>
      <c r="T536">
        <v>2024</v>
      </c>
      <c r="U536" t="s">
        <v>33</v>
      </c>
    </row>
    <row r="537" spans="1:21" x14ac:dyDescent="0.3">
      <c r="A537" t="s">
        <v>1672</v>
      </c>
      <c r="B537">
        <v>35</v>
      </c>
      <c r="C537" t="s">
        <v>47</v>
      </c>
      <c r="D537" t="s">
        <v>127</v>
      </c>
      <c r="E537" t="s">
        <v>24</v>
      </c>
      <c r="F537" s="1">
        <v>44066</v>
      </c>
      <c r="G537" t="s">
        <v>1673</v>
      </c>
      <c r="H537" t="s">
        <v>1674</v>
      </c>
      <c r="I537" t="s">
        <v>51</v>
      </c>
      <c r="J537">
        <v>4415.75</v>
      </c>
      <c r="K537">
        <v>180</v>
      </c>
      <c r="L537" t="s">
        <v>40</v>
      </c>
      <c r="M537" s="1">
        <v>44072</v>
      </c>
      <c r="N537" t="s">
        <v>99</v>
      </c>
      <c r="O537" t="s">
        <v>42</v>
      </c>
      <c r="P537">
        <v>6</v>
      </c>
      <c r="Q537" t="s">
        <v>31</v>
      </c>
      <c r="R537" t="s">
        <v>100</v>
      </c>
      <c r="S537">
        <v>8</v>
      </c>
      <c r="T537">
        <v>2020</v>
      </c>
      <c r="U537" t="s">
        <v>45</v>
      </c>
    </row>
    <row r="538" spans="1:21" x14ac:dyDescent="0.3">
      <c r="A538" t="s">
        <v>1675</v>
      </c>
      <c r="B538">
        <v>34</v>
      </c>
      <c r="C538" t="s">
        <v>22</v>
      </c>
      <c r="D538" t="s">
        <v>64</v>
      </c>
      <c r="E538" t="s">
        <v>70</v>
      </c>
      <c r="F538" s="1">
        <v>43837</v>
      </c>
      <c r="G538" t="s">
        <v>1676</v>
      </c>
      <c r="H538" t="s">
        <v>1677</v>
      </c>
      <c r="I538" t="s">
        <v>27</v>
      </c>
      <c r="J538">
        <v>41122.29</v>
      </c>
      <c r="K538">
        <v>440</v>
      </c>
      <c r="L538" t="s">
        <v>28</v>
      </c>
      <c r="M538" s="1">
        <v>43842</v>
      </c>
      <c r="N538" t="s">
        <v>29</v>
      </c>
      <c r="O538" t="s">
        <v>30</v>
      </c>
      <c r="P538">
        <v>5</v>
      </c>
      <c r="Q538" t="s">
        <v>31</v>
      </c>
      <c r="R538" t="s">
        <v>44</v>
      </c>
      <c r="S538">
        <v>1</v>
      </c>
      <c r="T538">
        <v>2020</v>
      </c>
      <c r="U538" t="s">
        <v>33</v>
      </c>
    </row>
    <row r="539" spans="1:21" x14ac:dyDescent="0.3">
      <c r="A539" t="s">
        <v>1678</v>
      </c>
      <c r="B539">
        <v>84</v>
      </c>
      <c r="C539" t="s">
        <v>47</v>
      </c>
      <c r="D539" t="s">
        <v>149</v>
      </c>
      <c r="E539" t="s">
        <v>115</v>
      </c>
      <c r="F539" s="1">
        <v>43763</v>
      </c>
      <c r="G539" t="s">
        <v>1679</v>
      </c>
      <c r="H539" t="s">
        <v>1680</v>
      </c>
      <c r="I539" t="s">
        <v>82</v>
      </c>
      <c r="J539">
        <v>28401.56</v>
      </c>
      <c r="K539">
        <v>377</v>
      </c>
      <c r="L539" t="s">
        <v>60</v>
      </c>
      <c r="M539" s="1">
        <v>43784</v>
      </c>
      <c r="N539" t="s">
        <v>41</v>
      </c>
      <c r="O539" t="s">
        <v>42</v>
      </c>
      <c r="P539">
        <v>21</v>
      </c>
      <c r="Q539" t="s">
        <v>53</v>
      </c>
      <c r="R539" t="s">
        <v>32</v>
      </c>
      <c r="S539">
        <v>10</v>
      </c>
      <c r="T539">
        <v>2019</v>
      </c>
      <c r="U539" t="s">
        <v>110</v>
      </c>
    </row>
    <row r="540" spans="1:21" x14ac:dyDescent="0.3">
      <c r="A540" t="s">
        <v>1681</v>
      </c>
      <c r="B540">
        <v>77</v>
      </c>
      <c r="C540" t="s">
        <v>47</v>
      </c>
      <c r="D540" t="s">
        <v>64</v>
      </c>
      <c r="E540" t="s">
        <v>57</v>
      </c>
      <c r="F540" s="1">
        <v>45189</v>
      </c>
      <c r="G540" t="s">
        <v>1682</v>
      </c>
      <c r="H540" t="s">
        <v>1683</v>
      </c>
      <c r="I540" t="s">
        <v>73</v>
      </c>
      <c r="J540">
        <v>28228.69</v>
      </c>
      <c r="K540">
        <v>277</v>
      </c>
      <c r="L540" t="s">
        <v>28</v>
      </c>
      <c r="M540" s="1">
        <v>45207</v>
      </c>
      <c r="N540" t="s">
        <v>29</v>
      </c>
      <c r="O540" t="s">
        <v>42</v>
      </c>
      <c r="P540">
        <v>18</v>
      </c>
      <c r="Q540" t="s">
        <v>53</v>
      </c>
      <c r="R540" t="s">
        <v>32</v>
      </c>
      <c r="S540">
        <v>9</v>
      </c>
      <c r="T540">
        <v>2023</v>
      </c>
      <c r="U540" t="s">
        <v>54</v>
      </c>
    </row>
    <row r="541" spans="1:21" x14ac:dyDescent="0.3">
      <c r="A541" t="s">
        <v>1684</v>
      </c>
      <c r="B541">
        <v>85</v>
      </c>
      <c r="C541" t="s">
        <v>22</v>
      </c>
      <c r="D541" t="s">
        <v>127</v>
      </c>
      <c r="E541" t="s">
        <v>115</v>
      </c>
      <c r="F541" s="1">
        <v>43842</v>
      </c>
      <c r="G541" t="s">
        <v>1685</v>
      </c>
      <c r="H541" t="s">
        <v>1686</v>
      </c>
      <c r="I541" t="s">
        <v>73</v>
      </c>
      <c r="J541">
        <v>2106.39</v>
      </c>
      <c r="K541">
        <v>375</v>
      </c>
      <c r="L541" t="s">
        <v>28</v>
      </c>
      <c r="M541" s="1">
        <v>43853</v>
      </c>
      <c r="N541" t="s">
        <v>67</v>
      </c>
      <c r="O541" t="s">
        <v>42</v>
      </c>
      <c r="P541">
        <v>11</v>
      </c>
      <c r="Q541" t="s">
        <v>53</v>
      </c>
      <c r="R541" t="s">
        <v>100</v>
      </c>
      <c r="S541">
        <v>1</v>
      </c>
      <c r="T541">
        <v>2020</v>
      </c>
      <c r="U541" t="s">
        <v>33</v>
      </c>
    </row>
    <row r="542" spans="1:21" x14ac:dyDescent="0.3">
      <c r="A542" t="s">
        <v>1687</v>
      </c>
      <c r="B542">
        <v>34</v>
      </c>
      <c r="C542" t="s">
        <v>47</v>
      </c>
      <c r="D542" t="s">
        <v>127</v>
      </c>
      <c r="E542" t="s">
        <v>70</v>
      </c>
      <c r="F542" s="1">
        <v>43620</v>
      </c>
      <c r="G542" t="s">
        <v>1688</v>
      </c>
      <c r="H542" t="s">
        <v>1689</v>
      </c>
      <c r="I542" t="s">
        <v>27</v>
      </c>
      <c r="J542">
        <v>47398.59</v>
      </c>
      <c r="K542">
        <v>431</v>
      </c>
      <c r="L542" t="s">
        <v>28</v>
      </c>
      <c r="M542" s="1">
        <v>43623</v>
      </c>
      <c r="N542" t="s">
        <v>41</v>
      </c>
      <c r="O542" t="s">
        <v>30</v>
      </c>
      <c r="P542">
        <v>3</v>
      </c>
      <c r="Q542" t="s">
        <v>31</v>
      </c>
      <c r="R542" t="s">
        <v>44</v>
      </c>
      <c r="S542">
        <v>6</v>
      </c>
      <c r="T542">
        <v>2019</v>
      </c>
      <c r="U542" t="s">
        <v>118</v>
      </c>
    </row>
    <row r="543" spans="1:21" x14ac:dyDescent="0.3">
      <c r="A543" t="s">
        <v>1690</v>
      </c>
      <c r="B543">
        <v>72</v>
      </c>
      <c r="C543" t="s">
        <v>47</v>
      </c>
      <c r="D543" t="s">
        <v>76</v>
      </c>
      <c r="E543" t="s">
        <v>70</v>
      </c>
      <c r="F543" s="1">
        <v>44544</v>
      </c>
      <c r="G543" t="s">
        <v>1691</v>
      </c>
      <c r="H543" t="s">
        <v>1692</v>
      </c>
      <c r="I543" t="s">
        <v>51</v>
      </c>
      <c r="J543">
        <v>47454.59</v>
      </c>
      <c r="K543">
        <v>293</v>
      </c>
      <c r="L543" t="s">
        <v>40</v>
      </c>
      <c r="M543" s="1">
        <v>44554</v>
      </c>
      <c r="N543" t="s">
        <v>52</v>
      </c>
      <c r="O543" t="s">
        <v>61</v>
      </c>
      <c r="P543">
        <v>10</v>
      </c>
      <c r="Q543" t="s">
        <v>53</v>
      </c>
      <c r="R543" t="s">
        <v>44</v>
      </c>
      <c r="S543">
        <v>12</v>
      </c>
      <c r="T543">
        <v>2021</v>
      </c>
      <c r="U543" t="s">
        <v>74</v>
      </c>
    </row>
    <row r="544" spans="1:21" x14ac:dyDescent="0.3">
      <c r="A544" t="s">
        <v>1693</v>
      </c>
      <c r="B544">
        <v>33</v>
      </c>
      <c r="C544" t="s">
        <v>47</v>
      </c>
      <c r="D544" t="s">
        <v>48</v>
      </c>
      <c r="E544" t="s">
        <v>57</v>
      </c>
      <c r="F544" s="1">
        <v>45076</v>
      </c>
      <c r="G544" t="s">
        <v>1694</v>
      </c>
      <c r="H544" t="s">
        <v>1695</v>
      </c>
      <c r="I544" t="s">
        <v>82</v>
      </c>
      <c r="J544">
        <v>22257.61</v>
      </c>
      <c r="K544">
        <v>243</v>
      </c>
      <c r="L544" t="s">
        <v>28</v>
      </c>
      <c r="M544" s="1">
        <v>45078</v>
      </c>
      <c r="N544" t="s">
        <v>41</v>
      </c>
      <c r="O544" t="s">
        <v>61</v>
      </c>
      <c r="P544">
        <v>2</v>
      </c>
      <c r="Q544" t="s">
        <v>31</v>
      </c>
      <c r="R544" t="s">
        <v>32</v>
      </c>
      <c r="S544">
        <v>5</v>
      </c>
      <c r="T544">
        <v>2023</v>
      </c>
      <c r="U544" t="s">
        <v>90</v>
      </c>
    </row>
    <row r="545" spans="1:21" x14ac:dyDescent="0.3">
      <c r="A545" t="s">
        <v>1696</v>
      </c>
      <c r="B545">
        <v>80</v>
      </c>
      <c r="C545" t="s">
        <v>47</v>
      </c>
      <c r="D545" t="s">
        <v>76</v>
      </c>
      <c r="E545" t="s">
        <v>115</v>
      </c>
      <c r="F545" s="1">
        <v>43703</v>
      </c>
      <c r="G545" t="s">
        <v>1697</v>
      </c>
      <c r="H545" t="s">
        <v>1698</v>
      </c>
      <c r="I545" t="s">
        <v>27</v>
      </c>
      <c r="J545">
        <v>30324.07</v>
      </c>
      <c r="K545">
        <v>159</v>
      </c>
      <c r="L545" t="s">
        <v>28</v>
      </c>
      <c r="M545" s="1">
        <v>43723</v>
      </c>
      <c r="N545" t="s">
        <v>67</v>
      </c>
      <c r="O545" t="s">
        <v>61</v>
      </c>
      <c r="P545">
        <v>20</v>
      </c>
      <c r="Q545" t="s">
        <v>53</v>
      </c>
      <c r="R545" t="s">
        <v>44</v>
      </c>
      <c r="S545">
        <v>8</v>
      </c>
      <c r="T545">
        <v>2019</v>
      </c>
      <c r="U545" t="s">
        <v>45</v>
      </c>
    </row>
    <row r="546" spans="1:21" x14ac:dyDescent="0.3">
      <c r="A546" t="s">
        <v>1699</v>
      </c>
      <c r="B546">
        <v>24</v>
      </c>
      <c r="C546" t="s">
        <v>47</v>
      </c>
      <c r="D546" t="s">
        <v>149</v>
      </c>
      <c r="E546" t="s">
        <v>115</v>
      </c>
      <c r="F546" s="1">
        <v>43785</v>
      </c>
      <c r="G546" t="s">
        <v>1700</v>
      </c>
      <c r="H546" t="s">
        <v>1701</v>
      </c>
      <c r="I546" t="s">
        <v>39</v>
      </c>
      <c r="J546">
        <v>10053.92</v>
      </c>
      <c r="K546">
        <v>371</v>
      </c>
      <c r="L546" t="s">
        <v>40</v>
      </c>
      <c r="M546" s="1">
        <v>43801</v>
      </c>
      <c r="N546" t="s">
        <v>52</v>
      </c>
      <c r="O546" t="s">
        <v>61</v>
      </c>
      <c r="P546">
        <v>16</v>
      </c>
      <c r="Q546" t="s">
        <v>31</v>
      </c>
      <c r="R546" t="s">
        <v>32</v>
      </c>
      <c r="S546">
        <v>11</v>
      </c>
      <c r="T546">
        <v>2019</v>
      </c>
      <c r="U546" t="s">
        <v>62</v>
      </c>
    </row>
    <row r="547" spans="1:21" x14ac:dyDescent="0.3">
      <c r="A547" t="s">
        <v>1702</v>
      </c>
      <c r="B547">
        <v>44</v>
      </c>
      <c r="C547" t="s">
        <v>47</v>
      </c>
      <c r="D547" t="s">
        <v>48</v>
      </c>
      <c r="E547" t="s">
        <v>115</v>
      </c>
      <c r="F547" s="1">
        <v>44674</v>
      </c>
      <c r="G547" t="s">
        <v>1703</v>
      </c>
      <c r="H547" t="s">
        <v>1704</v>
      </c>
      <c r="I547" t="s">
        <v>39</v>
      </c>
      <c r="J547">
        <v>9823.2999999999993</v>
      </c>
      <c r="K547">
        <v>304</v>
      </c>
      <c r="L547" t="s">
        <v>60</v>
      </c>
      <c r="M547" s="1">
        <v>44700</v>
      </c>
      <c r="N547" t="s">
        <v>99</v>
      </c>
      <c r="O547" t="s">
        <v>30</v>
      </c>
      <c r="P547">
        <v>26</v>
      </c>
      <c r="Q547" t="s">
        <v>68</v>
      </c>
      <c r="R547" t="s">
        <v>100</v>
      </c>
      <c r="S547">
        <v>4</v>
      </c>
      <c r="T547">
        <v>2022</v>
      </c>
      <c r="U547" t="s">
        <v>94</v>
      </c>
    </row>
    <row r="548" spans="1:21" x14ac:dyDescent="0.3">
      <c r="A548" t="s">
        <v>1705</v>
      </c>
      <c r="B548">
        <v>32</v>
      </c>
      <c r="C548" t="s">
        <v>47</v>
      </c>
      <c r="D548" t="s">
        <v>127</v>
      </c>
      <c r="E548" t="s">
        <v>70</v>
      </c>
      <c r="F548" s="1">
        <v>43881</v>
      </c>
      <c r="G548" t="s">
        <v>1706</v>
      </c>
      <c r="H548" t="s">
        <v>1707</v>
      </c>
      <c r="I548" t="s">
        <v>39</v>
      </c>
      <c r="J548">
        <v>17862.689999999999</v>
      </c>
      <c r="K548">
        <v>482</v>
      </c>
      <c r="L548" t="s">
        <v>60</v>
      </c>
      <c r="M548" s="1">
        <v>43882</v>
      </c>
      <c r="N548" t="s">
        <v>29</v>
      </c>
      <c r="O548" t="s">
        <v>42</v>
      </c>
      <c r="P548">
        <v>1</v>
      </c>
      <c r="Q548" t="s">
        <v>31</v>
      </c>
      <c r="R548" t="s">
        <v>32</v>
      </c>
      <c r="S548">
        <v>2</v>
      </c>
      <c r="T548">
        <v>2020</v>
      </c>
      <c r="U548" t="s">
        <v>278</v>
      </c>
    </row>
    <row r="549" spans="1:21" x14ac:dyDescent="0.3">
      <c r="A549" t="s">
        <v>1708</v>
      </c>
      <c r="B549">
        <v>83</v>
      </c>
      <c r="C549" t="s">
        <v>22</v>
      </c>
      <c r="D549" t="s">
        <v>127</v>
      </c>
      <c r="E549" t="s">
        <v>36</v>
      </c>
      <c r="F549" s="1">
        <v>44853</v>
      </c>
      <c r="G549" t="s">
        <v>1709</v>
      </c>
      <c r="H549" t="s">
        <v>1710</v>
      </c>
      <c r="I549" t="s">
        <v>27</v>
      </c>
      <c r="J549">
        <v>17855.8</v>
      </c>
      <c r="K549">
        <v>349</v>
      </c>
      <c r="L549" t="s">
        <v>40</v>
      </c>
      <c r="M549" s="1">
        <v>44875</v>
      </c>
      <c r="N549" t="s">
        <v>41</v>
      </c>
      <c r="O549" t="s">
        <v>42</v>
      </c>
      <c r="P549">
        <v>22</v>
      </c>
      <c r="Q549" t="s">
        <v>53</v>
      </c>
      <c r="R549" t="s">
        <v>32</v>
      </c>
      <c r="S549">
        <v>10</v>
      </c>
      <c r="T549">
        <v>2022</v>
      </c>
      <c r="U549" t="s">
        <v>110</v>
      </c>
    </row>
    <row r="550" spans="1:21" x14ac:dyDescent="0.3">
      <c r="A550" t="s">
        <v>1711</v>
      </c>
      <c r="B550">
        <v>80</v>
      </c>
      <c r="C550" t="s">
        <v>22</v>
      </c>
      <c r="D550" t="s">
        <v>149</v>
      </c>
      <c r="E550" t="s">
        <v>115</v>
      </c>
      <c r="F550" s="1">
        <v>44597</v>
      </c>
      <c r="G550" t="s">
        <v>1712</v>
      </c>
      <c r="H550" t="s">
        <v>1713</v>
      </c>
      <c r="I550" t="s">
        <v>82</v>
      </c>
      <c r="J550">
        <v>40178.46</v>
      </c>
      <c r="K550">
        <v>396</v>
      </c>
      <c r="L550" t="s">
        <v>60</v>
      </c>
      <c r="M550" s="1">
        <v>44610</v>
      </c>
      <c r="N550" t="s">
        <v>67</v>
      </c>
      <c r="O550" t="s">
        <v>42</v>
      </c>
      <c r="P550">
        <v>13</v>
      </c>
      <c r="Q550" t="s">
        <v>53</v>
      </c>
      <c r="R550" t="s">
        <v>44</v>
      </c>
      <c r="S550">
        <v>2</v>
      </c>
      <c r="T550">
        <v>2022</v>
      </c>
      <c r="U550" t="s">
        <v>278</v>
      </c>
    </row>
    <row r="551" spans="1:21" x14ac:dyDescent="0.3">
      <c r="A551" t="s">
        <v>1714</v>
      </c>
      <c r="B551">
        <v>41</v>
      </c>
      <c r="C551" t="s">
        <v>47</v>
      </c>
      <c r="D551" t="s">
        <v>127</v>
      </c>
      <c r="E551" t="s">
        <v>24</v>
      </c>
      <c r="F551" s="1">
        <v>43678</v>
      </c>
      <c r="G551" t="s">
        <v>1715</v>
      </c>
      <c r="H551" t="s">
        <v>1716</v>
      </c>
      <c r="I551" t="s">
        <v>82</v>
      </c>
      <c r="J551">
        <v>24690.22</v>
      </c>
      <c r="K551">
        <v>320</v>
      </c>
      <c r="L551" t="s">
        <v>40</v>
      </c>
      <c r="M551" s="1">
        <v>43686</v>
      </c>
      <c r="N551" t="s">
        <v>41</v>
      </c>
      <c r="O551" t="s">
        <v>61</v>
      </c>
      <c r="P551">
        <v>8</v>
      </c>
      <c r="Q551" t="s">
        <v>68</v>
      </c>
      <c r="R551" t="s">
        <v>32</v>
      </c>
      <c r="S551">
        <v>8</v>
      </c>
      <c r="T551">
        <v>2019</v>
      </c>
      <c r="U551" t="s">
        <v>45</v>
      </c>
    </row>
    <row r="552" spans="1:21" x14ac:dyDescent="0.3">
      <c r="A552" t="s">
        <v>1717</v>
      </c>
      <c r="B552">
        <v>39</v>
      </c>
      <c r="C552" t="s">
        <v>22</v>
      </c>
      <c r="D552" t="s">
        <v>149</v>
      </c>
      <c r="E552" t="s">
        <v>115</v>
      </c>
      <c r="F552" s="1">
        <v>44366</v>
      </c>
      <c r="G552" t="s">
        <v>1718</v>
      </c>
      <c r="H552" t="s">
        <v>1719</v>
      </c>
      <c r="I552" t="s">
        <v>73</v>
      </c>
      <c r="J552">
        <v>21862.06</v>
      </c>
      <c r="K552">
        <v>497</v>
      </c>
      <c r="L552" t="s">
        <v>60</v>
      </c>
      <c r="M552" s="1">
        <v>44393</v>
      </c>
      <c r="N552" t="s">
        <v>52</v>
      </c>
      <c r="O552" t="s">
        <v>30</v>
      </c>
      <c r="P552">
        <v>27</v>
      </c>
      <c r="Q552" t="s">
        <v>68</v>
      </c>
      <c r="R552" t="s">
        <v>32</v>
      </c>
      <c r="S552">
        <v>6</v>
      </c>
      <c r="T552">
        <v>2021</v>
      </c>
      <c r="U552" t="s">
        <v>118</v>
      </c>
    </row>
    <row r="553" spans="1:21" x14ac:dyDescent="0.3">
      <c r="A553" t="s">
        <v>1720</v>
      </c>
      <c r="B553">
        <v>55</v>
      </c>
      <c r="C553" t="s">
        <v>22</v>
      </c>
      <c r="D553" t="s">
        <v>149</v>
      </c>
      <c r="E553" t="s">
        <v>70</v>
      </c>
      <c r="F553" s="1">
        <v>44010</v>
      </c>
      <c r="G553" t="s">
        <v>1721</v>
      </c>
      <c r="H553" t="s">
        <v>1722</v>
      </c>
      <c r="I553" t="s">
        <v>51</v>
      </c>
      <c r="J553">
        <v>29790.85</v>
      </c>
      <c r="K553">
        <v>142</v>
      </c>
      <c r="L553" t="s">
        <v>28</v>
      </c>
      <c r="M553" s="1">
        <v>44036</v>
      </c>
      <c r="N553" t="s">
        <v>41</v>
      </c>
      <c r="O553" t="s">
        <v>30</v>
      </c>
      <c r="P553">
        <v>26</v>
      </c>
      <c r="Q553" t="s">
        <v>68</v>
      </c>
      <c r="R553" t="s">
        <v>32</v>
      </c>
      <c r="S553">
        <v>6</v>
      </c>
      <c r="T553">
        <v>2020</v>
      </c>
      <c r="U553" t="s">
        <v>118</v>
      </c>
    </row>
    <row r="554" spans="1:21" x14ac:dyDescent="0.3">
      <c r="A554" t="s">
        <v>1723</v>
      </c>
      <c r="B554">
        <v>59</v>
      </c>
      <c r="C554" t="s">
        <v>22</v>
      </c>
      <c r="D554" t="s">
        <v>48</v>
      </c>
      <c r="E554" t="s">
        <v>70</v>
      </c>
      <c r="F554" s="1">
        <v>43744</v>
      </c>
      <c r="G554" t="s">
        <v>1724</v>
      </c>
      <c r="H554" t="s">
        <v>1725</v>
      </c>
      <c r="I554" t="s">
        <v>82</v>
      </c>
      <c r="J554">
        <v>6539.76</v>
      </c>
      <c r="K554">
        <v>270</v>
      </c>
      <c r="L554" t="s">
        <v>28</v>
      </c>
      <c r="M554" s="1">
        <v>43762</v>
      </c>
      <c r="N554" t="s">
        <v>52</v>
      </c>
      <c r="O554" t="s">
        <v>61</v>
      </c>
      <c r="P554">
        <v>18</v>
      </c>
      <c r="Q554" t="s">
        <v>43</v>
      </c>
      <c r="R554" t="s">
        <v>100</v>
      </c>
      <c r="S554">
        <v>10</v>
      </c>
      <c r="T554">
        <v>2019</v>
      </c>
      <c r="U554" t="s">
        <v>110</v>
      </c>
    </row>
    <row r="555" spans="1:21" x14ac:dyDescent="0.3">
      <c r="A555" t="s">
        <v>1726</v>
      </c>
      <c r="B555">
        <v>34</v>
      </c>
      <c r="C555" t="s">
        <v>47</v>
      </c>
      <c r="D555" t="s">
        <v>48</v>
      </c>
      <c r="E555" t="s">
        <v>70</v>
      </c>
      <c r="F555" s="1">
        <v>44759</v>
      </c>
      <c r="G555" t="s">
        <v>1727</v>
      </c>
      <c r="H555" t="s">
        <v>1728</v>
      </c>
      <c r="I555" t="s">
        <v>51</v>
      </c>
      <c r="J555">
        <v>20453.32</v>
      </c>
      <c r="K555">
        <v>445</v>
      </c>
      <c r="L555" t="s">
        <v>28</v>
      </c>
      <c r="M555" s="1">
        <v>44765</v>
      </c>
      <c r="N555" t="s">
        <v>29</v>
      </c>
      <c r="O555" t="s">
        <v>42</v>
      </c>
      <c r="P555">
        <v>6</v>
      </c>
      <c r="Q555" t="s">
        <v>31</v>
      </c>
      <c r="R555" t="s">
        <v>32</v>
      </c>
      <c r="S555">
        <v>7</v>
      </c>
      <c r="T555">
        <v>2022</v>
      </c>
      <c r="U555" t="s">
        <v>86</v>
      </c>
    </row>
    <row r="556" spans="1:21" x14ac:dyDescent="0.3">
      <c r="A556" t="s">
        <v>1729</v>
      </c>
      <c r="B556">
        <v>27</v>
      </c>
      <c r="C556" t="s">
        <v>47</v>
      </c>
      <c r="D556" t="s">
        <v>56</v>
      </c>
      <c r="E556" t="s">
        <v>96</v>
      </c>
      <c r="F556" s="1">
        <v>44338</v>
      </c>
      <c r="G556" t="s">
        <v>1730</v>
      </c>
      <c r="H556" t="s">
        <v>1731</v>
      </c>
      <c r="I556" t="s">
        <v>82</v>
      </c>
      <c r="J556">
        <v>6827.7</v>
      </c>
      <c r="K556">
        <v>119</v>
      </c>
      <c r="L556" t="s">
        <v>28</v>
      </c>
      <c r="M556" s="1">
        <v>44356</v>
      </c>
      <c r="N556" t="s">
        <v>29</v>
      </c>
      <c r="O556" t="s">
        <v>30</v>
      </c>
      <c r="P556">
        <v>18</v>
      </c>
      <c r="Q556" t="s">
        <v>31</v>
      </c>
      <c r="R556" t="s">
        <v>100</v>
      </c>
      <c r="S556">
        <v>5</v>
      </c>
      <c r="T556">
        <v>2021</v>
      </c>
      <c r="U556" t="s">
        <v>90</v>
      </c>
    </row>
    <row r="557" spans="1:21" x14ac:dyDescent="0.3">
      <c r="A557" t="s">
        <v>1732</v>
      </c>
      <c r="B557">
        <v>56</v>
      </c>
      <c r="C557" t="s">
        <v>47</v>
      </c>
      <c r="D557" t="s">
        <v>56</v>
      </c>
      <c r="E557" t="s">
        <v>57</v>
      </c>
      <c r="F557" s="1">
        <v>44789</v>
      </c>
      <c r="G557" t="s">
        <v>1733</v>
      </c>
      <c r="H557" t="s">
        <v>1734</v>
      </c>
      <c r="I557" t="s">
        <v>82</v>
      </c>
      <c r="J557">
        <v>7557.6</v>
      </c>
      <c r="K557">
        <v>264</v>
      </c>
      <c r="L557" t="s">
        <v>28</v>
      </c>
      <c r="M557" s="1">
        <v>44808</v>
      </c>
      <c r="N557" t="s">
        <v>52</v>
      </c>
      <c r="O557" t="s">
        <v>42</v>
      </c>
      <c r="P557">
        <v>19</v>
      </c>
      <c r="Q557" t="s">
        <v>43</v>
      </c>
      <c r="R557" t="s">
        <v>100</v>
      </c>
      <c r="S557">
        <v>8</v>
      </c>
      <c r="T557">
        <v>2022</v>
      </c>
      <c r="U557" t="s">
        <v>45</v>
      </c>
    </row>
    <row r="558" spans="1:21" x14ac:dyDescent="0.3">
      <c r="A558" t="s">
        <v>1735</v>
      </c>
      <c r="B558">
        <v>60</v>
      </c>
      <c r="C558" t="s">
        <v>47</v>
      </c>
      <c r="D558" t="s">
        <v>35</v>
      </c>
      <c r="E558" t="s">
        <v>24</v>
      </c>
      <c r="F558" s="1">
        <v>44286</v>
      </c>
      <c r="G558" t="s">
        <v>1736</v>
      </c>
      <c r="H558" t="s">
        <v>1737</v>
      </c>
      <c r="I558" t="s">
        <v>51</v>
      </c>
      <c r="J558">
        <v>15364.48</v>
      </c>
      <c r="K558">
        <v>181</v>
      </c>
      <c r="L558" t="s">
        <v>40</v>
      </c>
      <c r="M558" s="1">
        <v>44304</v>
      </c>
      <c r="N558" t="s">
        <v>41</v>
      </c>
      <c r="O558" t="s">
        <v>61</v>
      </c>
      <c r="P558">
        <v>18</v>
      </c>
      <c r="Q558" t="s">
        <v>43</v>
      </c>
      <c r="R558" t="s">
        <v>32</v>
      </c>
      <c r="S558">
        <v>3</v>
      </c>
      <c r="T558">
        <v>2021</v>
      </c>
      <c r="U558" t="s">
        <v>122</v>
      </c>
    </row>
    <row r="559" spans="1:21" x14ac:dyDescent="0.3">
      <c r="A559" t="s">
        <v>1738</v>
      </c>
      <c r="B559">
        <v>71</v>
      </c>
      <c r="C559" t="s">
        <v>47</v>
      </c>
      <c r="D559" t="s">
        <v>149</v>
      </c>
      <c r="E559" t="s">
        <v>36</v>
      </c>
      <c r="F559" s="1">
        <v>44445</v>
      </c>
      <c r="G559" t="s">
        <v>1739</v>
      </c>
      <c r="H559" t="s">
        <v>1740</v>
      </c>
      <c r="I559" t="s">
        <v>51</v>
      </c>
      <c r="J559">
        <v>6664.22</v>
      </c>
      <c r="K559">
        <v>228</v>
      </c>
      <c r="L559" t="s">
        <v>60</v>
      </c>
      <c r="M559" s="1">
        <v>44456</v>
      </c>
      <c r="N559" t="s">
        <v>99</v>
      </c>
      <c r="O559" t="s">
        <v>61</v>
      </c>
      <c r="P559">
        <v>11</v>
      </c>
      <c r="Q559" t="s">
        <v>53</v>
      </c>
      <c r="R559" t="s">
        <v>100</v>
      </c>
      <c r="S559">
        <v>9</v>
      </c>
      <c r="T559">
        <v>2021</v>
      </c>
      <c r="U559" t="s">
        <v>54</v>
      </c>
    </row>
    <row r="560" spans="1:21" x14ac:dyDescent="0.3">
      <c r="A560" t="s">
        <v>1741</v>
      </c>
      <c r="B560">
        <v>20</v>
      </c>
      <c r="C560" t="s">
        <v>22</v>
      </c>
      <c r="D560" t="s">
        <v>76</v>
      </c>
      <c r="E560" t="s">
        <v>57</v>
      </c>
      <c r="F560" s="1">
        <v>45164</v>
      </c>
      <c r="G560" t="s">
        <v>1742</v>
      </c>
      <c r="H560" t="s">
        <v>1743</v>
      </c>
      <c r="I560" t="s">
        <v>82</v>
      </c>
      <c r="J560">
        <v>7235.19</v>
      </c>
      <c r="K560">
        <v>197</v>
      </c>
      <c r="L560" t="s">
        <v>28</v>
      </c>
      <c r="M560" s="1">
        <v>45165</v>
      </c>
      <c r="N560" t="s">
        <v>67</v>
      </c>
      <c r="O560" t="s">
        <v>42</v>
      </c>
      <c r="P560">
        <v>1</v>
      </c>
      <c r="Q560" t="s">
        <v>31</v>
      </c>
      <c r="R560" t="s">
        <v>100</v>
      </c>
      <c r="S560">
        <v>8</v>
      </c>
      <c r="T560">
        <v>2023</v>
      </c>
      <c r="U560" t="s">
        <v>45</v>
      </c>
    </row>
    <row r="561" spans="1:21" x14ac:dyDescent="0.3">
      <c r="A561" t="s">
        <v>1744</v>
      </c>
      <c r="B561">
        <v>75</v>
      </c>
      <c r="C561" t="s">
        <v>22</v>
      </c>
      <c r="D561" t="s">
        <v>35</v>
      </c>
      <c r="E561" t="s">
        <v>70</v>
      </c>
      <c r="F561" s="1">
        <v>43796</v>
      </c>
      <c r="G561" t="s">
        <v>1745</v>
      </c>
      <c r="H561" t="s">
        <v>1011</v>
      </c>
      <c r="I561" t="s">
        <v>51</v>
      </c>
      <c r="J561">
        <v>20336.490000000002</v>
      </c>
      <c r="K561">
        <v>316</v>
      </c>
      <c r="L561" t="s">
        <v>40</v>
      </c>
      <c r="M561" s="1">
        <v>43806</v>
      </c>
      <c r="N561" t="s">
        <v>67</v>
      </c>
      <c r="O561" t="s">
        <v>30</v>
      </c>
      <c r="P561">
        <v>10</v>
      </c>
      <c r="Q561" t="s">
        <v>53</v>
      </c>
      <c r="R561" t="s">
        <v>32</v>
      </c>
      <c r="S561">
        <v>11</v>
      </c>
      <c r="T561">
        <v>2019</v>
      </c>
      <c r="U561" t="s">
        <v>62</v>
      </c>
    </row>
    <row r="562" spans="1:21" x14ac:dyDescent="0.3">
      <c r="A562" t="s">
        <v>1746</v>
      </c>
      <c r="B562">
        <v>32</v>
      </c>
      <c r="C562" t="s">
        <v>47</v>
      </c>
      <c r="D562" t="s">
        <v>35</v>
      </c>
      <c r="E562" t="s">
        <v>36</v>
      </c>
      <c r="F562" s="1">
        <v>44992</v>
      </c>
      <c r="G562" t="s">
        <v>1747</v>
      </c>
      <c r="H562" t="s">
        <v>1748</v>
      </c>
      <c r="I562" t="s">
        <v>73</v>
      </c>
      <c r="J562">
        <v>38668.69</v>
      </c>
      <c r="K562">
        <v>462</v>
      </c>
      <c r="L562" t="s">
        <v>28</v>
      </c>
      <c r="M562" s="1">
        <v>44997</v>
      </c>
      <c r="N562" t="s">
        <v>99</v>
      </c>
      <c r="O562" t="s">
        <v>30</v>
      </c>
      <c r="P562">
        <v>5</v>
      </c>
      <c r="Q562" t="s">
        <v>31</v>
      </c>
      <c r="R562" t="s">
        <v>44</v>
      </c>
      <c r="S562">
        <v>3</v>
      </c>
      <c r="T562">
        <v>2023</v>
      </c>
      <c r="U562" t="s">
        <v>122</v>
      </c>
    </row>
    <row r="563" spans="1:21" x14ac:dyDescent="0.3">
      <c r="A563" t="s">
        <v>1749</v>
      </c>
      <c r="B563">
        <v>66</v>
      </c>
      <c r="C563" t="s">
        <v>47</v>
      </c>
      <c r="D563" t="s">
        <v>48</v>
      </c>
      <c r="E563" t="s">
        <v>57</v>
      </c>
      <c r="F563" s="1">
        <v>44837</v>
      </c>
      <c r="G563" t="s">
        <v>1750</v>
      </c>
      <c r="H563" t="s">
        <v>1751</v>
      </c>
      <c r="I563" t="s">
        <v>51</v>
      </c>
      <c r="J563">
        <v>41222.01</v>
      </c>
      <c r="K563">
        <v>255</v>
      </c>
      <c r="L563" t="s">
        <v>60</v>
      </c>
      <c r="M563" s="1">
        <v>44848</v>
      </c>
      <c r="N563" t="s">
        <v>99</v>
      </c>
      <c r="O563" t="s">
        <v>61</v>
      </c>
      <c r="P563">
        <v>11</v>
      </c>
      <c r="Q563" t="s">
        <v>43</v>
      </c>
      <c r="R563" t="s">
        <v>44</v>
      </c>
      <c r="S563">
        <v>10</v>
      </c>
      <c r="T563">
        <v>2022</v>
      </c>
      <c r="U563" t="s">
        <v>110</v>
      </c>
    </row>
    <row r="564" spans="1:21" x14ac:dyDescent="0.3">
      <c r="A564" t="s">
        <v>1752</v>
      </c>
      <c r="B564">
        <v>78</v>
      </c>
      <c r="C564" t="s">
        <v>47</v>
      </c>
      <c r="D564" t="s">
        <v>149</v>
      </c>
      <c r="E564" t="s">
        <v>57</v>
      </c>
      <c r="F564" s="1">
        <v>44936</v>
      </c>
      <c r="G564" t="s">
        <v>1753</v>
      </c>
      <c r="H564" t="s">
        <v>1754</v>
      </c>
      <c r="I564" t="s">
        <v>39</v>
      </c>
      <c r="J564">
        <v>38520.01</v>
      </c>
      <c r="K564">
        <v>211</v>
      </c>
      <c r="L564" t="s">
        <v>28</v>
      </c>
      <c r="M564" s="1">
        <v>44956</v>
      </c>
      <c r="N564" t="s">
        <v>99</v>
      </c>
      <c r="O564" t="s">
        <v>61</v>
      </c>
      <c r="P564">
        <v>20</v>
      </c>
      <c r="Q564" t="s">
        <v>53</v>
      </c>
      <c r="R564" t="s">
        <v>44</v>
      </c>
      <c r="S564">
        <v>1</v>
      </c>
      <c r="T564">
        <v>2023</v>
      </c>
      <c r="U564" t="s">
        <v>33</v>
      </c>
    </row>
    <row r="565" spans="1:21" x14ac:dyDescent="0.3">
      <c r="A565" t="s">
        <v>1755</v>
      </c>
      <c r="B565">
        <v>49</v>
      </c>
      <c r="C565" t="s">
        <v>22</v>
      </c>
      <c r="D565" t="s">
        <v>149</v>
      </c>
      <c r="E565" t="s">
        <v>24</v>
      </c>
      <c r="F565" s="1">
        <v>43933</v>
      </c>
      <c r="G565" t="s">
        <v>1756</v>
      </c>
      <c r="H565" t="s">
        <v>1757</v>
      </c>
      <c r="I565" t="s">
        <v>82</v>
      </c>
      <c r="J565">
        <v>44411.12</v>
      </c>
      <c r="K565">
        <v>103</v>
      </c>
      <c r="L565" t="s">
        <v>28</v>
      </c>
      <c r="M565" s="1">
        <v>43955</v>
      </c>
      <c r="N565" t="s">
        <v>52</v>
      </c>
      <c r="O565" t="s">
        <v>30</v>
      </c>
      <c r="P565">
        <v>22</v>
      </c>
      <c r="Q565" t="s">
        <v>68</v>
      </c>
      <c r="R565" t="s">
        <v>44</v>
      </c>
      <c r="S565">
        <v>4</v>
      </c>
      <c r="T565">
        <v>2020</v>
      </c>
      <c r="U565" t="s">
        <v>94</v>
      </c>
    </row>
    <row r="566" spans="1:21" x14ac:dyDescent="0.3">
      <c r="A566" t="s">
        <v>1758</v>
      </c>
      <c r="B566">
        <v>73</v>
      </c>
      <c r="C566" t="s">
        <v>22</v>
      </c>
      <c r="D566" t="s">
        <v>23</v>
      </c>
      <c r="E566" t="s">
        <v>115</v>
      </c>
      <c r="F566" s="1">
        <v>44155</v>
      </c>
      <c r="G566" t="s">
        <v>1759</v>
      </c>
      <c r="H566" t="s">
        <v>1760</v>
      </c>
      <c r="I566" t="s">
        <v>51</v>
      </c>
      <c r="J566">
        <v>26044.25</v>
      </c>
      <c r="K566">
        <v>101</v>
      </c>
      <c r="L566" t="s">
        <v>28</v>
      </c>
      <c r="M566" s="1">
        <v>44180</v>
      </c>
      <c r="N566" t="s">
        <v>52</v>
      </c>
      <c r="O566" t="s">
        <v>42</v>
      </c>
      <c r="P566">
        <v>25</v>
      </c>
      <c r="Q566" t="s">
        <v>53</v>
      </c>
      <c r="R566" t="s">
        <v>32</v>
      </c>
      <c r="S566">
        <v>11</v>
      </c>
      <c r="T566">
        <v>2020</v>
      </c>
      <c r="U566" t="s">
        <v>62</v>
      </c>
    </row>
    <row r="567" spans="1:21" x14ac:dyDescent="0.3">
      <c r="A567" t="s">
        <v>1761</v>
      </c>
      <c r="B567">
        <v>69</v>
      </c>
      <c r="C567" t="s">
        <v>22</v>
      </c>
      <c r="D567" t="s">
        <v>76</v>
      </c>
      <c r="E567" t="s">
        <v>96</v>
      </c>
      <c r="F567" s="1">
        <v>45408</v>
      </c>
      <c r="G567" t="s">
        <v>1762</v>
      </c>
      <c r="H567" t="s">
        <v>1763</v>
      </c>
      <c r="I567" t="s">
        <v>51</v>
      </c>
      <c r="J567">
        <v>7902.42</v>
      </c>
      <c r="K567">
        <v>419</v>
      </c>
      <c r="L567" t="s">
        <v>40</v>
      </c>
      <c r="M567" s="1">
        <v>45436</v>
      </c>
      <c r="N567" t="s">
        <v>41</v>
      </c>
      <c r="O567" t="s">
        <v>61</v>
      </c>
      <c r="P567">
        <v>28</v>
      </c>
      <c r="Q567" t="s">
        <v>43</v>
      </c>
      <c r="R567" t="s">
        <v>100</v>
      </c>
      <c r="S567">
        <v>4</v>
      </c>
      <c r="T567">
        <v>2024</v>
      </c>
      <c r="U567" t="s">
        <v>94</v>
      </c>
    </row>
    <row r="568" spans="1:21" x14ac:dyDescent="0.3">
      <c r="A568" t="s">
        <v>1764</v>
      </c>
      <c r="B568">
        <v>51</v>
      </c>
      <c r="C568" t="s">
        <v>47</v>
      </c>
      <c r="D568" t="s">
        <v>35</v>
      </c>
      <c r="E568" t="s">
        <v>96</v>
      </c>
      <c r="F568" s="1">
        <v>45106</v>
      </c>
      <c r="G568" t="s">
        <v>1765</v>
      </c>
      <c r="H568" t="s">
        <v>1766</v>
      </c>
      <c r="I568" t="s">
        <v>39</v>
      </c>
      <c r="J568">
        <v>46245.58</v>
      </c>
      <c r="K568">
        <v>455</v>
      </c>
      <c r="L568" t="s">
        <v>28</v>
      </c>
      <c r="M568" s="1">
        <v>45114</v>
      </c>
      <c r="N568" t="s">
        <v>29</v>
      </c>
      <c r="O568" t="s">
        <v>61</v>
      </c>
      <c r="P568">
        <v>8</v>
      </c>
      <c r="Q568" t="s">
        <v>68</v>
      </c>
      <c r="R568" t="s">
        <v>44</v>
      </c>
      <c r="S568">
        <v>6</v>
      </c>
      <c r="T568">
        <v>2023</v>
      </c>
      <c r="U568" t="s">
        <v>118</v>
      </c>
    </row>
    <row r="569" spans="1:21" x14ac:dyDescent="0.3">
      <c r="A569" t="s">
        <v>1767</v>
      </c>
      <c r="B569">
        <v>66</v>
      </c>
      <c r="C569" t="s">
        <v>22</v>
      </c>
      <c r="D569" t="s">
        <v>56</v>
      </c>
      <c r="E569" t="s">
        <v>57</v>
      </c>
      <c r="F569" s="1">
        <v>43841</v>
      </c>
      <c r="G569" t="s">
        <v>1768</v>
      </c>
      <c r="H569" t="s">
        <v>1769</v>
      </c>
      <c r="I569" t="s">
        <v>51</v>
      </c>
      <c r="J569">
        <v>40448.97</v>
      </c>
      <c r="K569">
        <v>497</v>
      </c>
      <c r="L569" t="s">
        <v>40</v>
      </c>
      <c r="M569" s="1">
        <v>43868</v>
      </c>
      <c r="N569" t="s">
        <v>29</v>
      </c>
      <c r="O569" t="s">
        <v>61</v>
      </c>
      <c r="P569">
        <v>27</v>
      </c>
      <c r="Q569" t="s">
        <v>43</v>
      </c>
      <c r="R569" t="s">
        <v>44</v>
      </c>
      <c r="S569">
        <v>1</v>
      </c>
      <c r="T569">
        <v>2020</v>
      </c>
      <c r="U569" t="s">
        <v>33</v>
      </c>
    </row>
    <row r="570" spans="1:21" x14ac:dyDescent="0.3">
      <c r="A570" t="s">
        <v>1770</v>
      </c>
      <c r="B570">
        <v>38</v>
      </c>
      <c r="C570" t="s">
        <v>47</v>
      </c>
      <c r="D570" t="s">
        <v>149</v>
      </c>
      <c r="E570" t="s">
        <v>115</v>
      </c>
      <c r="F570" s="1">
        <v>44717</v>
      </c>
      <c r="G570" t="s">
        <v>1771</v>
      </c>
      <c r="H570" t="s">
        <v>1772</v>
      </c>
      <c r="I570" t="s">
        <v>39</v>
      </c>
      <c r="J570">
        <v>20914.95</v>
      </c>
      <c r="K570">
        <v>276</v>
      </c>
      <c r="L570" t="s">
        <v>60</v>
      </c>
      <c r="M570" s="1">
        <v>44727</v>
      </c>
      <c r="N570" t="s">
        <v>29</v>
      </c>
      <c r="O570" t="s">
        <v>30</v>
      </c>
      <c r="P570">
        <v>10</v>
      </c>
      <c r="Q570" t="s">
        <v>68</v>
      </c>
      <c r="R570" t="s">
        <v>32</v>
      </c>
      <c r="S570">
        <v>6</v>
      </c>
      <c r="T570">
        <v>2022</v>
      </c>
      <c r="U570" t="s">
        <v>118</v>
      </c>
    </row>
    <row r="571" spans="1:21" x14ac:dyDescent="0.3">
      <c r="A571" t="s">
        <v>1773</v>
      </c>
      <c r="B571">
        <v>33</v>
      </c>
      <c r="C571" t="s">
        <v>22</v>
      </c>
      <c r="D571" t="s">
        <v>56</v>
      </c>
      <c r="E571" t="s">
        <v>70</v>
      </c>
      <c r="F571" s="1">
        <v>45319</v>
      </c>
      <c r="G571" t="s">
        <v>1774</v>
      </c>
      <c r="H571" t="s">
        <v>1775</v>
      </c>
      <c r="I571" t="s">
        <v>39</v>
      </c>
      <c r="J571">
        <v>46682.45</v>
      </c>
      <c r="K571">
        <v>385</v>
      </c>
      <c r="L571" t="s">
        <v>60</v>
      </c>
      <c r="M571" s="1">
        <v>45344</v>
      </c>
      <c r="N571" t="s">
        <v>29</v>
      </c>
      <c r="O571" t="s">
        <v>42</v>
      </c>
      <c r="P571">
        <v>25</v>
      </c>
      <c r="Q571" t="s">
        <v>31</v>
      </c>
      <c r="R571" t="s">
        <v>44</v>
      </c>
      <c r="S571">
        <v>1</v>
      </c>
      <c r="T571">
        <v>2024</v>
      </c>
      <c r="U571" t="s">
        <v>33</v>
      </c>
    </row>
    <row r="572" spans="1:21" x14ac:dyDescent="0.3">
      <c r="A572" t="s">
        <v>1776</v>
      </c>
      <c r="B572">
        <v>27</v>
      </c>
      <c r="C572" t="s">
        <v>22</v>
      </c>
      <c r="D572" t="s">
        <v>23</v>
      </c>
      <c r="E572" t="s">
        <v>24</v>
      </c>
      <c r="F572" s="1">
        <v>44506</v>
      </c>
      <c r="G572" t="s">
        <v>1777</v>
      </c>
      <c r="H572" t="s">
        <v>1778</v>
      </c>
      <c r="I572" t="s">
        <v>73</v>
      </c>
      <c r="J572">
        <v>10965.7</v>
      </c>
      <c r="K572">
        <v>298</v>
      </c>
      <c r="L572" t="s">
        <v>60</v>
      </c>
      <c r="M572" s="1">
        <v>44507</v>
      </c>
      <c r="N572" t="s">
        <v>67</v>
      </c>
      <c r="O572" t="s">
        <v>30</v>
      </c>
      <c r="P572">
        <v>1</v>
      </c>
      <c r="Q572" t="s">
        <v>31</v>
      </c>
      <c r="R572" t="s">
        <v>32</v>
      </c>
      <c r="S572">
        <v>11</v>
      </c>
      <c r="T572">
        <v>2021</v>
      </c>
      <c r="U572" t="s">
        <v>62</v>
      </c>
    </row>
    <row r="573" spans="1:21" x14ac:dyDescent="0.3">
      <c r="A573" t="s">
        <v>1779</v>
      </c>
      <c r="B573">
        <v>36</v>
      </c>
      <c r="C573" t="s">
        <v>22</v>
      </c>
      <c r="D573" t="s">
        <v>23</v>
      </c>
      <c r="E573" t="s">
        <v>24</v>
      </c>
      <c r="F573" s="1">
        <v>44398</v>
      </c>
      <c r="G573" t="s">
        <v>1780</v>
      </c>
      <c r="H573" t="s">
        <v>1781</v>
      </c>
      <c r="I573" t="s">
        <v>51</v>
      </c>
      <c r="J573">
        <v>27507.040000000001</v>
      </c>
      <c r="K573">
        <v>286</v>
      </c>
      <c r="L573" t="s">
        <v>40</v>
      </c>
      <c r="M573" s="1">
        <v>44408</v>
      </c>
      <c r="N573" t="s">
        <v>41</v>
      </c>
      <c r="O573" t="s">
        <v>30</v>
      </c>
      <c r="P573">
        <v>10</v>
      </c>
      <c r="Q573" t="s">
        <v>68</v>
      </c>
      <c r="R573" t="s">
        <v>32</v>
      </c>
      <c r="S573">
        <v>7</v>
      </c>
      <c r="T573">
        <v>2021</v>
      </c>
      <c r="U573" t="s">
        <v>86</v>
      </c>
    </row>
    <row r="574" spans="1:21" x14ac:dyDescent="0.3">
      <c r="A574" t="s">
        <v>1782</v>
      </c>
      <c r="B574">
        <v>41</v>
      </c>
      <c r="C574" t="s">
        <v>22</v>
      </c>
      <c r="D574" t="s">
        <v>48</v>
      </c>
      <c r="E574" t="s">
        <v>24</v>
      </c>
      <c r="F574" s="1">
        <v>43792</v>
      </c>
      <c r="G574" t="s">
        <v>1783</v>
      </c>
      <c r="H574" t="s">
        <v>1784</v>
      </c>
      <c r="I574" t="s">
        <v>73</v>
      </c>
      <c r="J574">
        <v>12678.1</v>
      </c>
      <c r="K574">
        <v>141</v>
      </c>
      <c r="L574" t="s">
        <v>28</v>
      </c>
      <c r="M574" s="1">
        <v>43805</v>
      </c>
      <c r="N574" t="s">
        <v>67</v>
      </c>
      <c r="O574" t="s">
        <v>30</v>
      </c>
      <c r="P574">
        <v>13</v>
      </c>
      <c r="Q574" t="s">
        <v>68</v>
      </c>
      <c r="R574" t="s">
        <v>32</v>
      </c>
      <c r="S574">
        <v>11</v>
      </c>
      <c r="T574">
        <v>2019</v>
      </c>
      <c r="U574" t="s">
        <v>62</v>
      </c>
    </row>
    <row r="575" spans="1:21" x14ac:dyDescent="0.3">
      <c r="A575" t="s">
        <v>1785</v>
      </c>
      <c r="B575">
        <v>33</v>
      </c>
      <c r="C575" t="s">
        <v>22</v>
      </c>
      <c r="D575" t="s">
        <v>76</v>
      </c>
      <c r="E575" t="s">
        <v>70</v>
      </c>
      <c r="F575" s="1">
        <v>43615</v>
      </c>
      <c r="G575" t="s">
        <v>1786</v>
      </c>
      <c r="H575" t="s">
        <v>1787</v>
      </c>
      <c r="I575" t="s">
        <v>51</v>
      </c>
      <c r="J575">
        <v>38395.53</v>
      </c>
      <c r="K575">
        <v>215</v>
      </c>
      <c r="L575" t="s">
        <v>40</v>
      </c>
      <c r="M575" s="1">
        <v>43645</v>
      </c>
      <c r="N575" t="s">
        <v>41</v>
      </c>
      <c r="O575" t="s">
        <v>42</v>
      </c>
      <c r="P575">
        <v>30</v>
      </c>
      <c r="Q575" t="s">
        <v>31</v>
      </c>
      <c r="R575" t="s">
        <v>44</v>
      </c>
      <c r="S575">
        <v>5</v>
      </c>
      <c r="T575">
        <v>2019</v>
      </c>
      <c r="U575" t="s">
        <v>90</v>
      </c>
    </row>
    <row r="576" spans="1:21" x14ac:dyDescent="0.3">
      <c r="A576" t="s">
        <v>1788</v>
      </c>
      <c r="B576">
        <v>56</v>
      </c>
      <c r="C576" t="s">
        <v>47</v>
      </c>
      <c r="D576" t="s">
        <v>76</v>
      </c>
      <c r="E576" t="s">
        <v>70</v>
      </c>
      <c r="F576" s="1">
        <v>45374</v>
      </c>
      <c r="G576" t="s">
        <v>1789</v>
      </c>
      <c r="H576" t="s">
        <v>1790</v>
      </c>
      <c r="I576" t="s">
        <v>39</v>
      </c>
      <c r="J576">
        <v>28510.81</v>
      </c>
      <c r="K576">
        <v>185</v>
      </c>
      <c r="L576" t="s">
        <v>40</v>
      </c>
      <c r="M576" s="1">
        <v>45396</v>
      </c>
      <c r="N576" t="s">
        <v>99</v>
      </c>
      <c r="O576" t="s">
        <v>42</v>
      </c>
      <c r="P576">
        <v>22</v>
      </c>
      <c r="Q576" t="s">
        <v>43</v>
      </c>
      <c r="R576" t="s">
        <v>32</v>
      </c>
      <c r="S576">
        <v>3</v>
      </c>
      <c r="T576">
        <v>2024</v>
      </c>
      <c r="U576" t="s">
        <v>122</v>
      </c>
    </row>
    <row r="577" spans="1:21" x14ac:dyDescent="0.3">
      <c r="A577" t="s">
        <v>1791</v>
      </c>
      <c r="B577">
        <v>25</v>
      </c>
      <c r="C577" t="s">
        <v>22</v>
      </c>
      <c r="D577" t="s">
        <v>56</v>
      </c>
      <c r="E577" t="s">
        <v>36</v>
      </c>
      <c r="F577" s="1">
        <v>43639</v>
      </c>
      <c r="G577" t="s">
        <v>1792</v>
      </c>
      <c r="H577" t="s">
        <v>1793</v>
      </c>
      <c r="I577" t="s">
        <v>39</v>
      </c>
      <c r="J577">
        <v>43400.67</v>
      </c>
      <c r="K577">
        <v>300</v>
      </c>
      <c r="L577" t="s">
        <v>40</v>
      </c>
      <c r="M577" s="1">
        <v>43658</v>
      </c>
      <c r="N577" t="s">
        <v>52</v>
      </c>
      <c r="O577" t="s">
        <v>61</v>
      </c>
      <c r="P577">
        <v>19</v>
      </c>
      <c r="Q577" t="s">
        <v>31</v>
      </c>
      <c r="R577" t="s">
        <v>44</v>
      </c>
      <c r="S577">
        <v>6</v>
      </c>
      <c r="T577">
        <v>2019</v>
      </c>
      <c r="U577" t="s">
        <v>118</v>
      </c>
    </row>
    <row r="578" spans="1:21" x14ac:dyDescent="0.3">
      <c r="A578" t="s">
        <v>1794</v>
      </c>
      <c r="B578">
        <v>21</v>
      </c>
      <c r="C578" t="s">
        <v>47</v>
      </c>
      <c r="D578" t="s">
        <v>149</v>
      </c>
      <c r="E578" t="s">
        <v>70</v>
      </c>
      <c r="F578" s="1">
        <v>44591</v>
      </c>
      <c r="G578" t="s">
        <v>1795</v>
      </c>
      <c r="H578" t="s">
        <v>1796</v>
      </c>
      <c r="I578" t="s">
        <v>51</v>
      </c>
      <c r="J578">
        <v>46890.43</v>
      </c>
      <c r="K578">
        <v>307</v>
      </c>
      <c r="L578" t="s">
        <v>60</v>
      </c>
      <c r="M578" s="1">
        <v>44618</v>
      </c>
      <c r="N578" t="s">
        <v>52</v>
      </c>
      <c r="O578" t="s">
        <v>61</v>
      </c>
      <c r="P578">
        <v>27</v>
      </c>
      <c r="Q578" t="s">
        <v>31</v>
      </c>
      <c r="R578" t="s">
        <v>44</v>
      </c>
      <c r="S578">
        <v>1</v>
      </c>
      <c r="T578">
        <v>2022</v>
      </c>
      <c r="U578" t="s">
        <v>33</v>
      </c>
    </row>
    <row r="579" spans="1:21" x14ac:dyDescent="0.3">
      <c r="A579" t="s">
        <v>1797</v>
      </c>
      <c r="B579">
        <v>57</v>
      </c>
      <c r="C579" t="s">
        <v>22</v>
      </c>
      <c r="D579" t="s">
        <v>23</v>
      </c>
      <c r="E579" t="s">
        <v>24</v>
      </c>
      <c r="F579" s="1">
        <v>44877</v>
      </c>
      <c r="G579" t="s">
        <v>1798</v>
      </c>
      <c r="H579" t="s">
        <v>1799</v>
      </c>
      <c r="I579" t="s">
        <v>82</v>
      </c>
      <c r="J579">
        <v>48491.64</v>
      </c>
      <c r="K579">
        <v>129</v>
      </c>
      <c r="L579" t="s">
        <v>60</v>
      </c>
      <c r="M579" s="1">
        <v>44887</v>
      </c>
      <c r="N579" t="s">
        <v>67</v>
      </c>
      <c r="O579" t="s">
        <v>30</v>
      </c>
      <c r="P579">
        <v>10</v>
      </c>
      <c r="Q579" t="s">
        <v>43</v>
      </c>
      <c r="R579" t="s">
        <v>44</v>
      </c>
      <c r="S579">
        <v>11</v>
      </c>
      <c r="T579">
        <v>2022</v>
      </c>
      <c r="U579" t="s">
        <v>62</v>
      </c>
    </row>
    <row r="580" spans="1:21" x14ac:dyDescent="0.3">
      <c r="A580" t="s">
        <v>1800</v>
      </c>
      <c r="B580">
        <v>39</v>
      </c>
      <c r="C580" t="s">
        <v>47</v>
      </c>
      <c r="D580" t="s">
        <v>56</v>
      </c>
      <c r="E580" t="s">
        <v>24</v>
      </c>
      <c r="F580" s="1">
        <v>44187</v>
      </c>
      <c r="G580" t="s">
        <v>1801</v>
      </c>
      <c r="H580" t="s">
        <v>1802</v>
      </c>
      <c r="I580" t="s">
        <v>27</v>
      </c>
      <c r="J580">
        <v>13643.73</v>
      </c>
      <c r="K580">
        <v>380</v>
      </c>
      <c r="L580" t="s">
        <v>60</v>
      </c>
      <c r="M580" s="1">
        <v>44192</v>
      </c>
      <c r="N580" t="s">
        <v>99</v>
      </c>
      <c r="O580" t="s">
        <v>30</v>
      </c>
      <c r="P580">
        <v>5</v>
      </c>
      <c r="Q580" t="s">
        <v>68</v>
      </c>
      <c r="R580" t="s">
        <v>32</v>
      </c>
      <c r="S580">
        <v>12</v>
      </c>
      <c r="T580">
        <v>2020</v>
      </c>
      <c r="U580" t="s">
        <v>74</v>
      </c>
    </row>
    <row r="581" spans="1:21" x14ac:dyDescent="0.3">
      <c r="A581" t="s">
        <v>1803</v>
      </c>
      <c r="B581">
        <v>51</v>
      </c>
      <c r="C581" t="s">
        <v>47</v>
      </c>
      <c r="D581" t="s">
        <v>48</v>
      </c>
      <c r="E581" t="s">
        <v>57</v>
      </c>
      <c r="F581" s="1">
        <v>44703</v>
      </c>
      <c r="G581" t="s">
        <v>1804</v>
      </c>
      <c r="H581" t="s">
        <v>1805</v>
      </c>
      <c r="I581" t="s">
        <v>82</v>
      </c>
      <c r="J581">
        <v>5415.28</v>
      </c>
      <c r="K581">
        <v>209</v>
      </c>
      <c r="L581" t="s">
        <v>40</v>
      </c>
      <c r="M581" s="1">
        <v>44720</v>
      </c>
      <c r="N581" t="s">
        <v>52</v>
      </c>
      <c r="O581" t="s">
        <v>42</v>
      </c>
      <c r="P581">
        <v>17</v>
      </c>
      <c r="Q581" t="s">
        <v>68</v>
      </c>
      <c r="R581" t="s">
        <v>100</v>
      </c>
      <c r="S581">
        <v>5</v>
      </c>
      <c r="T581">
        <v>2022</v>
      </c>
      <c r="U581" t="s">
        <v>90</v>
      </c>
    </row>
    <row r="582" spans="1:21" x14ac:dyDescent="0.3">
      <c r="A582" t="s">
        <v>1806</v>
      </c>
      <c r="B582">
        <v>31</v>
      </c>
      <c r="C582" t="s">
        <v>22</v>
      </c>
      <c r="D582" t="s">
        <v>127</v>
      </c>
      <c r="E582" t="s">
        <v>96</v>
      </c>
      <c r="F582" s="1">
        <v>44282</v>
      </c>
      <c r="G582" t="s">
        <v>1807</v>
      </c>
      <c r="H582" t="s">
        <v>1808</v>
      </c>
      <c r="I582" t="s">
        <v>51</v>
      </c>
      <c r="J582">
        <v>44008.05</v>
      </c>
      <c r="K582">
        <v>392</v>
      </c>
      <c r="L582" t="s">
        <v>60</v>
      </c>
      <c r="M582" s="1">
        <v>44309</v>
      </c>
      <c r="N582" t="s">
        <v>99</v>
      </c>
      <c r="O582" t="s">
        <v>61</v>
      </c>
      <c r="P582">
        <v>27</v>
      </c>
      <c r="Q582" t="s">
        <v>31</v>
      </c>
      <c r="R582" t="s">
        <v>44</v>
      </c>
      <c r="S582">
        <v>3</v>
      </c>
      <c r="T582">
        <v>2021</v>
      </c>
      <c r="U582" t="s">
        <v>122</v>
      </c>
    </row>
    <row r="583" spans="1:21" x14ac:dyDescent="0.3">
      <c r="A583" t="s">
        <v>1809</v>
      </c>
      <c r="B583">
        <v>85</v>
      </c>
      <c r="C583" t="s">
        <v>22</v>
      </c>
      <c r="D583" t="s">
        <v>76</v>
      </c>
      <c r="E583" t="s">
        <v>70</v>
      </c>
      <c r="F583" s="1">
        <v>44734</v>
      </c>
      <c r="G583" t="s">
        <v>1810</v>
      </c>
      <c r="H583" t="s">
        <v>1811</v>
      </c>
      <c r="I583" t="s">
        <v>73</v>
      </c>
      <c r="J583">
        <v>43866.66</v>
      </c>
      <c r="K583">
        <v>420</v>
      </c>
      <c r="L583" t="s">
        <v>28</v>
      </c>
      <c r="M583" s="1">
        <v>44764</v>
      </c>
      <c r="N583" t="s">
        <v>52</v>
      </c>
      <c r="O583" t="s">
        <v>30</v>
      </c>
      <c r="P583">
        <v>30</v>
      </c>
      <c r="Q583" t="s">
        <v>53</v>
      </c>
      <c r="R583" t="s">
        <v>44</v>
      </c>
      <c r="S583">
        <v>6</v>
      </c>
      <c r="T583">
        <v>2022</v>
      </c>
      <c r="U583" t="s">
        <v>118</v>
      </c>
    </row>
    <row r="584" spans="1:21" x14ac:dyDescent="0.3">
      <c r="A584" t="s">
        <v>1812</v>
      </c>
      <c r="B584">
        <v>76</v>
      </c>
      <c r="C584" t="s">
        <v>22</v>
      </c>
      <c r="D584" t="s">
        <v>56</v>
      </c>
      <c r="E584" t="s">
        <v>57</v>
      </c>
      <c r="F584" s="1">
        <v>44757</v>
      </c>
      <c r="G584" t="s">
        <v>1813</v>
      </c>
      <c r="H584" t="s">
        <v>1814</v>
      </c>
      <c r="I584" t="s">
        <v>27</v>
      </c>
      <c r="J584">
        <v>45242.86</v>
      </c>
      <c r="K584">
        <v>174</v>
      </c>
      <c r="L584" t="s">
        <v>40</v>
      </c>
      <c r="M584" s="1">
        <v>44761</v>
      </c>
      <c r="N584" t="s">
        <v>67</v>
      </c>
      <c r="O584" t="s">
        <v>61</v>
      </c>
      <c r="P584">
        <v>4</v>
      </c>
      <c r="Q584" t="s">
        <v>53</v>
      </c>
      <c r="R584" t="s">
        <v>44</v>
      </c>
      <c r="S584">
        <v>7</v>
      </c>
      <c r="T584">
        <v>2022</v>
      </c>
      <c r="U584" t="s">
        <v>86</v>
      </c>
    </row>
    <row r="585" spans="1:21" x14ac:dyDescent="0.3">
      <c r="A585" t="s">
        <v>1815</v>
      </c>
      <c r="B585">
        <v>59</v>
      </c>
      <c r="C585" t="s">
        <v>22</v>
      </c>
      <c r="D585" t="s">
        <v>35</v>
      </c>
      <c r="E585" t="s">
        <v>70</v>
      </c>
      <c r="F585" s="1">
        <v>44718</v>
      </c>
      <c r="G585" t="s">
        <v>1816</v>
      </c>
      <c r="H585" t="s">
        <v>1817</v>
      </c>
      <c r="I585" t="s">
        <v>51</v>
      </c>
      <c r="J585">
        <v>13550.12</v>
      </c>
      <c r="K585">
        <v>250</v>
      </c>
      <c r="L585" t="s">
        <v>60</v>
      </c>
      <c r="M585" s="1">
        <v>44742</v>
      </c>
      <c r="N585" t="s">
        <v>29</v>
      </c>
      <c r="O585" t="s">
        <v>30</v>
      </c>
      <c r="P585">
        <v>24</v>
      </c>
      <c r="Q585" t="s">
        <v>43</v>
      </c>
      <c r="R585" t="s">
        <v>32</v>
      </c>
      <c r="S585">
        <v>6</v>
      </c>
      <c r="T585">
        <v>2022</v>
      </c>
      <c r="U585" t="s">
        <v>118</v>
      </c>
    </row>
    <row r="586" spans="1:21" x14ac:dyDescent="0.3">
      <c r="A586" t="s">
        <v>1818</v>
      </c>
      <c r="B586">
        <v>64</v>
      </c>
      <c r="C586" t="s">
        <v>22</v>
      </c>
      <c r="D586" t="s">
        <v>149</v>
      </c>
      <c r="E586" t="s">
        <v>57</v>
      </c>
      <c r="F586" s="1">
        <v>44194</v>
      </c>
      <c r="G586" t="s">
        <v>1819</v>
      </c>
      <c r="H586" t="s">
        <v>1820</v>
      </c>
      <c r="I586" t="s">
        <v>27</v>
      </c>
      <c r="J586">
        <v>34963.64</v>
      </c>
      <c r="K586">
        <v>277</v>
      </c>
      <c r="L586" t="s">
        <v>28</v>
      </c>
      <c r="M586" s="1">
        <v>44203</v>
      </c>
      <c r="N586" t="s">
        <v>52</v>
      </c>
      <c r="O586" t="s">
        <v>42</v>
      </c>
      <c r="P586">
        <v>9</v>
      </c>
      <c r="Q586" t="s">
        <v>43</v>
      </c>
      <c r="R586" t="s">
        <v>44</v>
      </c>
      <c r="S586">
        <v>12</v>
      </c>
      <c r="T586">
        <v>2020</v>
      </c>
      <c r="U586" t="s">
        <v>74</v>
      </c>
    </row>
    <row r="587" spans="1:21" x14ac:dyDescent="0.3">
      <c r="A587" t="s">
        <v>1821</v>
      </c>
      <c r="B587">
        <v>28</v>
      </c>
      <c r="C587" t="s">
        <v>22</v>
      </c>
      <c r="D587" t="s">
        <v>35</v>
      </c>
      <c r="E587" t="s">
        <v>115</v>
      </c>
      <c r="F587" s="1">
        <v>43974</v>
      </c>
      <c r="G587" t="s">
        <v>1822</v>
      </c>
      <c r="H587" t="s">
        <v>1823</v>
      </c>
      <c r="I587" t="s">
        <v>73</v>
      </c>
      <c r="J587">
        <v>48890.45</v>
      </c>
      <c r="K587">
        <v>324</v>
      </c>
      <c r="L587" t="s">
        <v>60</v>
      </c>
      <c r="M587" s="1">
        <v>43994</v>
      </c>
      <c r="N587" t="s">
        <v>67</v>
      </c>
      <c r="O587" t="s">
        <v>61</v>
      </c>
      <c r="P587">
        <v>20</v>
      </c>
      <c r="Q587" t="s">
        <v>31</v>
      </c>
      <c r="R587" t="s">
        <v>44</v>
      </c>
      <c r="S587">
        <v>5</v>
      </c>
      <c r="T587">
        <v>2020</v>
      </c>
      <c r="U587" t="s">
        <v>90</v>
      </c>
    </row>
    <row r="588" spans="1:21" x14ac:dyDescent="0.3">
      <c r="A588" t="s">
        <v>1824</v>
      </c>
      <c r="B588">
        <v>63</v>
      </c>
      <c r="C588" t="s">
        <v>22</v>
      </c>
      <c r="D588" t="s">
        <v>48</v>
      </c>
      <c r="E588" t="s">
        <v>36</v>
      </c>
      <c r="F588" s="1">
        <v>44767</v>
      </c>
      <c r="G588" t="s">
        <v>1825</v>
      </c>
      <c r="H588" t="s">
        <v>1826</v>
      </c>
      <c r="I588" t="s">
        <v>39</v>
      </c>
      <c r="J588">
        <v>17159.580000000002</v>
      </c>
      <c r="K588">
        <v>330</v>
      </c>
      <c r="L588" t="s">
        <v>40</v>
      </c>
      <c r="M588" s="1">
        <v>44795</v>
      </c>
      <c r="N588" t="s">
        <v>41</v>
      </c>
      <c r="O588" t="s">
        <v>30</v>
      </c>
      <c r="P588">
        <v>28</v>
      </c>
      <c r="Q588" t="s">
        <v>43</v>
      </c>
      <c r="R588" t="s">
        <v>32</v>
      </c>
      <c r="S588">
        <v>7</v>
      </c>
      <c r="T588">
        <v>2022</v>
      </c>
      <c r="U588" t="s">
        <v>86</v>
      </c>
    </row>
    <row r="589" spans="1:21" x14ac:dyDescent="0.3">
      <c r="A589" t="s">
        <v>1827</v>
      </c>
      <c r="B589">
        <v>24</v>
      </c>
      <c r="C589" t="s">
        <v>22</v>
      </c>
      <c r="D589" t="s">
        <v>48</v>
      </c>
      <c r="E589" t="s">
        <v>115</v>
      </c>
      <c r="F589" s="1">
        <v>44287</v>
      </c>
      <c r="G589" t="s">
        <v>1828</v>
      </c>
      <c r="H589" t="s">
        <v>485</v>
      </c>
      <c r="I589" t="s">
        <v>82</v>
      </c>
      <c r="J589">
        <v>7192.63</v>
      </c>
      <c r="K589">
        <v>443</v>
      </c>
      <c r="L589" t="s">
        <v>40</v>
      </c>
      <c r="M589" s="1">
        <v>44305</v>
      </c>
      <c r="N589" t="s">
        <v>67</v>
      </c>
      <c r="O589" t="s">
        <v>61</v>
      </c>
      <c r="P589">
        <v>18</v>
      </c>
      <c r="Q589" t="s">
        <v>31</v>
      </c>
      <c r="R589" t="s">
        <v>100</v>
      </c>
      <c r="S589">
        <v>4</v>
      </c>
      <c r="T589">
        <v>2021</v>
      </c>
      <c r="U589" t="s">
        <v>94</v>
      </c>
    </row>
    <row r="590" spans="1:21" x14ac:dyDescent="0.3">
      <c r="A590" t="s">
        <v>1829</v>
      </c>
      <c r="B590">
        <v>81</v>
      </c>
      <c r="C590" t="s">
        <v>22</v>
      </c>
      <c r="D590" t="s">
        <v>127</v>
      </c>
      <c r="E590" t="s">
        <v>115</v>
      </c>
      <c r="F590" s="1">
        <v>44032</v>
      </c>
      <c r="G590" t="s">
        <v>1830</v>
      </c>
      <c r="H590" t="s">
        <v>1831</v>
      </c>
      <c r="I590" t="s">
        <v>39</v>
      </c>
      <c r="J590">
        <v>44982.85</v>
      </c>
      <c r="K590">
        <v>121</v>
      </c>
      <c r="L590" t="s">
        <v>60</v>
      </c>
      <c r="M590" s="1">
        <v>44041</v>
      </c>
      <c r="N590" t="s">
        <v>99</v>
      </c>
      <c r="O590" t="s">
        <v>30</v>
      </c>
      <c r="P590">
        <v>9</v>
      </c>
      <c r="Q590" t="s">
        <v>53</v>
      </c>
      <c r="R590" t="s">
        <v>44</v>
      </c>
      <c r="S590">
        <v>7</v>
      </c>
      <c r="T590">
        <v>2020</v>
      </c>
      <c r="U590" t="s">
        <v>86</v>
      </c>
    </row>
    <row r="591" spans="1:21" x14ac:dyDescent="0.3">
      <c r="A591" t="s">
        <v>1832</v>
      </c>
      <c r="B591">
        <v>74</v>
      </c>
      <c r="C591" t="s">
        <v>22</v>
      </c>
      <c r="D591" t="s">
        <v>35</v>
      </c>
      <c r="E591" t="s">
        <v>57</v>
      </c>
      <c r="F591" s="1">
        <v>43889</v>
      </c>
      <c r="G591" t="s">
        <v>1833</v>
      </c>
      <c r="H591" t="s">
        <v>1834</v>
      </c>
      <c r="I591" t="s">
        <v>39</v>
      </c>
      <c r="J591">
        <v>16004.47</v>
      </c>
      <c r="K591">
        <v>254</v>
      </c>
      <c r="L591" t="s">
        <v>40</v>
      </c>
      <c r="M591" s="1">
        <v>43918</v>
      </c>
      <c r="N591" t="s">
        <v>41</v>
      </c>
      <c r="O591" t="s">
        <v>42</v>
      </c>
      <c r="P591">
        <v>29</v>
      </c>
      <c r="Q591" t="s">
        <v>53</v>
      </c>
      <c r="R591" t="s">
        <v>32</v>
      </c>
      <c r="S591">
        <v>2</v>
      </c>
      <c r="T591">
        <v>2020</v>
      </c>
      <c r="U591" t="s">
        <v>278</v>
      </c>
    </row>
    <row r="592" spans="1:21" x14ac:dyDescent="0.3">
      <c r="A592" t="s">
        <v>1835</v>
      </c>
      <c r="B592">
        <v>28</v>
      </c>
      <c r="C592" t="s">
        <v>22</v>
      </c>
      <c r="D592" t="s">
        <v>64</v>
      </c>
      <c r="E592" t="s">
        <v>24</v>
      </c>
      <c r="F592" s="1">
        <v>45168</v>
      </c>
      <c r="G592" t="s">
        <v>1836</v>
      </c>
      <c r="H592" t="s">
        <v>1837</v>
      </c>
      <c r="I592" t="s">
        <v>73</v>
      </c>
      <c r="J592">
        <v>7320.04</v>
      </c>
      <c r="K592">
        <v>458</v>
      </c>
      <c r="L592" t="s">
        <v>60</v>
      </c>
      <c r="M592" s="1">
        <v>45186</v>
      </c>
      <c r="N592" t="s">
        <v>41</v>
      </c>
      <c r="O592" t="s">
        <v>30</v>
      </c>
      <c r="P592">
        <v>18</v>
      </c>
      <c r="Q592" t="s">
        <v>31</v>
      </c>
      <c r="R592" t="s">
        <v>100</v>
      </c>
      <c r="S592">
        <v>8</v>
      </c>
      <c r="T592">
        <v>2023</v>
      </c>
      <c r="U592" t="s">
        <v>45</v>
      </c>
    </row>
    <row r="593" spans="1:21" x14ac:dyDescent="0.3">
      <c r="A593" t="s">
        <v>1838</v>
      </c>
      <c r="B593">
        <v>27</v>
      </c>
      <c r="C593" t="s">
        <v>22</v>
      </c>
      <c r="D593" t="s">
        <v>76</v>
      </c>
      <c r="E593" t="s">
        <v>36</v>
      </c>
      <c r="F593" s="1">
        <v>44039</v>
      </c>
      <c r="G593" t="s">
        <v>1839</v>
      </c>
      <c r="H593" t="s">
        <v>1840</v>
      </c>
      <c r="I593" t="s">
        <v>27</v>
      </c>
      <c r="J593">
        <v>28329.82</v>
      </c>
      <c r="K593">
        <v>470</v>
      </c>
      <c r="L593" t="s">
        <v>40</v>
      </c>
      <c r="M593" s="1">
        <v>44067</v>
      </c>
      <c r="N593" t="s">
        <v>52</v>
      </c>
      <c r="O593" t="s">
        <v>30</v>
      </c>
      <c r="P593">
        <v>28</v>
      </c>
      <c r="Q593" t="s">
        <v>31</v>
      </c>
      <c r="R593" t="s">
        <v>32</v>
      </c>
      <c r="S593">
        <v>7</v>
      </c>
      <c r="T593">
        <v>2020</v>
      </c>
      <c r="U593" t="s">
        <v>86</v>
      </c>
    </row>
    <row r="594" spans="1:21" x14ac:dyDescent="0.3">
      <c r="A594" t="s">
        <v>1841</v>
      </c>
      <c r="B594">
        <v>24</v>
      </c>
      <c r="C594" t="s">
        <v>22</v>
      </c>
      <c r="D594" t="s">
        <v>76</v>
      </c>
      <c r="E594" t="s">
        <v>57</v>
      </c>
      <c r="F594" s="1">
        <v>44283</v>
      </c>
      <c r="G594" t="s">
        <v>1842</v>
      </c>
      <c r="H594" t="s">
        <v>1843</v>
      </c>
      <c r="I594" t="s">
        <v>73</v>
      </c>
      <c r="J594">
        <v>24130.52</v>
      </c>
      <c r="K594">
        <v>214</v>
      </c>
      <c r="L594" t="s">
        <v>28</v>
      </c>
      <c r="M594" s="1">
        <v>44291</v>
      </c>
      <c r="N594" t="s">
        <v>29</v>
      </c>
      <c r="O594" t="s">
        <v>42</v>
      </c>
      <c r="P594">
        <v>8</v>
      </c>
      <c r="Q594" t="s">
        <v>31</v>
      </c>
      <c r="R594" t="s">
        <v>32</v>
      </c>
      <c r="S594">
        <v>3</v>
      </c>
      <c r="T594">
        <v>2021</v>
      </c>
      <c r="U594" t="s">
        <v>122</v>
      </c>
    </row>
    <row r="595" spans="1:21" x14ac:dyDescent="0.3">
      <c r="A595" t="s">
        <v>1844</v>
      </c>
      <c r="B595">
        <v>63</v>
      </c>
      <c r="C595" t="s">
        <v>22</v>
      </c>
      <c r="D595" t="s">
        <v>48</v>
      </c>
      <c r="E595" t="s">
        <v>57</v>
      </c>
      <c r="F595" s="1">
        <v>44689</v>
      </c>
      <c r="G595" t="s">
        <v>1845</v>
      </c>
      <c r="H595" t="s">
        <v>1846</v>
      </c>
      <c r="I595" t="s">
        <v>82</v>
      </c>
      <c r="J595">
        <v>22361.15</v>
      </c>
      <c r="K595">
        <v>445</v>
      </c>
      <c r="L595" t="s">
        <v>40</v>
      </c>
      <c r="M595" s="1">
        <v>44691</v>
      </c>
      <c r="N595" t="s">
        <v>29</v>
      </c>
      <c r="O595" t="s">
        <v>30</v>
      </c>
      <c r="P595">
        <v>2</v>
      </c>
      <c r="Q595" t="s">
        <v>43</v>
      </c>
      <c r="R595" t="s">
        <v>32</v>
      </c>
      <c r="S595">
        <v>5</v>
      </c>
      <c r="T595">
        <v>2022</v>
      </c>
      <c r="U595" t="s">
        <v>90</v>
      </c>
    </row>
    <row r="596" spans="1:21" x14ac:dyDescent="0.3">
      <c r="A596" t="s">
        <v>1847</v>
      </c>
      <c r="B596">
        <v>46</v>
      </c>
      <c r="C596" t="s">
        <v>47</v>
      </c>
      <c r="D596" t="s">
        <v>56</v>
      </c>
      <c r="E596" t="s">
        <v>36</v>
      </c>
      <c r="F596" s="1">
        <v>44363</v>
      </c>
      <c r="G596" t="s">
        <v>1848</v>
      </c>
      <c r="H596" t="s">
        <v>1849</v>
      </c>
      <c r="I596" t="s">
        <v>27</v>
      </c>
      <c r="J596">
        <v>19650</v>
      </c>
      <c r="K596">
        <v>108</v>
      </c>
      <c r="L596" t="s">
        <v>40</v>
      </c>
      <c r="M596" s="1">
        <v>44383</v>
      </c>
      <c r="N596" t="s">
        <v>99</v>
      </c>
      <c r="O596" t="s">
        <v>42</v>
      </c>
      <c r="P596">
        <v>20</v>
      </c>
      <c r="Q596" t="s">
        <v>68</v>
      </c>
      <c r="R596" t="s">
        <v>32</v>
      </c>
      <c r="S596">
        <v>6</v>
      </c>
      <c r="T596">
        <v>2021</v>
      </c>
      <c r="U596" t="s">
        <v>118</v>
      </c>
    </row>
    <row r="597" spans="1:21" x14ac:dyDescent="0.3">
      <c r="A597" t="s">
        <v>1850</v>
      </c>
      <c r="B597">
        <v>35</v>
      </c>
      <c r="C597" t="s">
        <v>47</v>
      </c>
      <c r="D597" t="s">
        <v>64</v>
      </c>
      <c r="E597" t="s">
        <v>115</v>
      </c>
      <c r="F597" s="1">
        <v>45230</v>
      </c>
      <c r="G597" t="s">
        <v>1851</v>
      </c>
      <c r="H597" t="s">
        <v>1852</v>
      </c>
      <c r="I597" t="s">
        <v>51</v>
      </c>
      <c r="J597">
        <v>30986.93</v>
      </c>
      <c r="K597">
        <v>346</v>
      </c>
      <c r="L597" t="s">
        <v>28</v>
      </c>
      <c r="M597" s="1">
        <v>45251</v>
      </c>
      <c r="N597" t="s">
        <v>29</v>
      </c>
      <c r="O597" t="s">
        <v>61</v>
      </c>
      <c r="P597">
        <v>21</v>
      </c>
      <c r="Q597" t="s">
        <v>31</v>
      </c>
      <c r="R597" t="s">
        <v>44</v>
      </c>
      <c r="S597">
        <v>10</v>
      </c>
      <c r="T597">
        <v>2023</v>
      </c>
      <c r="U597" t="s">
        <v>110</v>
      </c>
    </row>
    <row r="598" spans="1:21" x14ac:dyDescent="0.3">
      <c r="A598" t="s">
        <v>1853</v>
      </c>
      <c r="B598">
        <v>28</v>
      </c>
      <c r="C598" t="s">
        <v>47</v>
      </c>
      <c r="D598" t="s">
        <v>127</v>
      </c>
      <c r="E598" t="s">
        <v>57</v>
      </c>
      <c r="F598" s="1">
        <v>44674</v>
      </c>
      <c r="G598" t="s">
        <v>1854</v>
      </c>
      <c r="H598" t="s">
        <v>1855</v>
      </c>
      <c r="I598" t="s">
        <v>73</v>
      </c>
      <c r="J598">
        <v>45987.16</v>
      </c>
      <c r="K598">
        <v>293</v>
      </c>
      <c r="L598" t="s">
        <v>60</v>
      </c>
      <c r="M598" s="1">
        <v>44692</v>
      </c>
      <c r="N598" t="s">
        <v>67</v>
      </c>
      <c r="O598" t="s">
        <v>30</v>
      </c>
      <c r="P598">
        <v>18</v>
      </c>
      <c r="Q598" t="s">
        <v>31</v>
      </c>
      <c r="R598" t="s">
        <v>44</v>
      </c>
      <c r="S598">
        <v>4</v>
      </c>
      <c r="T598">
        <v>2022</v>
      </c>
      <c r="U598" t="s">
        <v>94</v>
      </c>
    </row>
    <row r="599" spans="1:21" x14ac:dyDescent="0.3">
      <c r="A599" t="s">
        <v>1856</v>
      </c>
      <c r="B599">
        <v>80</v>
      </c>
      <c r="C599" t="s">
        <v>47</v>
      </c>
      <c r="D599" t="s">
        <v>127</v>
      </c>
      <c r="E599" t="s">
        <v>36</v>
      </c>
      <c r="F599" s="1">
        <v>44539</v>
      </c>
      <c r="G599" t="s">
        <v>1857</v>
      </c>
      <c r="H599" t="s">
        <v>1858</v>
      </c>
      <c r="I599" t="s">
        <v>39</v>
      </c>
      <c r="J599">
        <v>11086.73</v>
      </c>
      <c r="K599">
        <v>482</v>
      </c>
      <c r="L599" t="s">
        <v>28</v>
      </c>
      <c r="M599" s="1">
        <v>44542</v>
      </c>
      <c r="N599" t="s">
        <v>99</v>
      </c>
      <c r="O599" t="s">
        <v>42</v>
      </c>
      <c r="P599">
        <v>3</v>
      </c>
      <c r="Q599" t="s">
        <v>53</v>
      </c>
      <c r="R599" t="s">
        <v>32</v>
      </c>
      <c r="S599">
        <v>12</v>
      </c>
      <c r="T599">
        <v>2021</v>
      </c>
      <c r="U599" t="s">
        <v>74</v>
      </c>
    </row>
    <row r="600" spans="1:21" x14ac:dyDescent="0.3">
      <c r="A600" t="s">
        <v>1859</v>
      </c>
      <c r="B600">
        <v>31</v>
      </c>
      <c r="C600" t="s">
        <v>22</v>
      </c>
      <c r="D600" t="s">
        <v>149</v>
      </c>
      <c r="E600" t="s">
        <v>36</v>
      </c>
      <c r="F600" s="1">
        <v>45301</v>
      </c>
      <c r="G600" t="s">
        <v>1860</v>
      </c>
      <c r="H600" t="s">
        <v>1861</v>
      </c>
      <c r="I600" t="s">
        <v>39</v>
      </c>
      <c r="J600">
        <v>28483.88</v>
      </c>
      <c r="K600">
        <v>265</v>
      </c>
      <c r="L600" t="s">
        <v>28</v>
      </c>
      <c r="M600" s="1">
        <v>45324</v>
      </c>
      <c r="N600" t="s">
        <v>99</v>
      </c>
      <c r="O600" t="s">
        <v>61</v>
      </c>
      <c r="P600">
        <v>23</v>
      </c>
      <c r="Q600" t="s">
        <v>31</v>
      </c>
      <c r="R600" t="s">
        <v>32</v>
      </c>
      <c r="S600">
        <v>1</v>
      </c>
      <c r="T600">
        <v>2024</v>
      </c>
      <c r="U600" t="s">
        <v>33</v>
      </c>
    </row>
    <row r="601" spans="1:21" x14ac:dyDescent="0.3">
      <c r="A601" t="s">
        <v>1862</v>
      </c>
      <c r="B601">
        <v>69</v>
      </c>
      <c r="C601" t="s">
        <v>47</v>
      </c>
      <c r="D601" t="s">
        <v>56</v>
      </c>
      <c r="E601" t="s">
        <v>57</v>
      </c>
      <c r="F601" s="1">
        <v>43786</v>
      </c>
      <c r="G601" t="s">
        <v>1863</v>
      </c>
      <c r="H601" t="s">
        <v>1864</v>
      </c>
      <c r="I601" t="s">
        <v>82</v>
      </c>
      <c r="J601">
        <v>37905.96</v>
      </c>
      <c r="K601">
        <v>368</v>
      </c>
      <c r="L601" t="s">
        <v>40</v>
      </c>
      <c r="M601" s="1">
        <v>43814</v>
      </c>
      <c r="N601" t="s">
        <v>99</v>
      </c>
      <c r="O601" t="s">
        <v>42</v>
      </c>
      <c r="P601">
        <v>28</v>
      </c>
      <c r="Q601" t="s">
        <v>43</v>
      </c>
      <c r="R601" t="s">
        <v>44</v>
      </c>
      <c r="S601">
        <v>11</v>
      </c>
      <c r="T601">
        <v>2019</v>
      </c>
      <c r="U601" t="s">
        <v>62</v>
      </c>
    </row>
    <row r="602" spans="1:21" x14ac:dyDescent="0.3">
      <c r="A602" t="s">
        <v>1865</v>
      </c>
      <c r="B602">
        <v>82</v>
      </c>
      <c r="C602" t="s">
        <v>22</v>
      </c>
      <c r="D602" t="s">
        <v>64</v>
      </c>
      <c r="E602" t="s">
        <v>70</v>
      </c>
      <c r="F602" s="1">
        <v>44566</v>
      </c>
      <c r="G602" t="s">
        <v>1866</v>
      </c>
      <c r="H602" t="s">
        <v>1867</v>
      </c>
      <c r="I602" t="s">
        <v>39</v>
      </c>
      <c r="J602">
        <v>27878.85</v>
      </c>
      <c r="K602">
        <v>472</v>
      </c>
      <c r="L602" t="s">
        <v>60</v>
      </c>
      <c r="M602" s="1">
        <v>44572</v>
      </c>
      <c r="N602" t="s">
        <v>41</v>
      </c>
      <c r="O602" t="s">
        <v>30</v>
      </c>
      <c r="P602">
        <v>6</v>
      </c>
      <c r="Q602" t="s">
        <v>53</v>
      </c>
      <c r="R602" t="s">
        <v>32</v>
      </c>
      <c r="S602">
        <v>1</v>
      </c>
      <c r="T602">
        <v>2022</v>
      </c>
      <c r="U602" t="s">
        <v>33</v>
      </c>
    </row>
    <row r="603" spans="1:21" x14ac:dyDescent="0.3">
      <c r="A603" t="s">
        <v>1868</v>
      </c>
      <c r="B603">
        <v>64</v>
      </c>
      <c r="C603" t="s">
        <v>47</v>
      </c>
      <c r="D603" t="s">
        <v>127</v>
      </c>
      <c r="E603" t="s">
        <v>115</v>
      </c>
      <c r="F603" s="1">
        <v>45306</v>
      </c>
      <c r="G603" t="s">
        <v>1869</v>
      </c>
      <c r="H603" t="s">
        <v>1870</v>
      </c>
      <c r="I603" t="s">
        <v>51</v>
      </c>
      <c r="J603">
        <v>13900.05</v>
      </c>
      <c r="K603">
        <v>442</v>
      </c>
      <c r="L603" t="s">
        <v>28</v>
      </c>
      <c r="M603" s="1">
        <v>45332</v>
      </c>
      <c r="N603" t="s">
        <v>41</v>
      </c>
      <c r="O603" t="s">
        <v>42</v>
      </c>
      <c r="P603">
        <v>26</v>
      </c>
      <c r="Q603" t="s">
        <v>43</v>
      </c>
      <c r="R603" t="s">
        <v>32</v>
      </c>
      <c r="S603">
        <v>1</v>
      </c>
      <c r="T603">
        <v>2024</v>
      </c>
      <c r="U603" t="s">
        <v>33</v>
      </c>
    </row>
    <row r="604" spans="1:21" x14ac:dyDescent="0.3">
      <c r="A604" t="s">
        <v>1871</v>
      </c>
      <c r="B604">
        <v>77</v>
      </c>
      <c r="C604" t="s">
        <v>47</v>
      </c>
      <c r="D604" t="s">
        <v>56</v>
      </c>
      <c r="E604" t="s">
        <v>115</v>
      </c>
      <c r="F604" s="1">
        <v>44882</v>
      </c>
      <c r="G604" t="s">
        <v>1872</v>
      </c>
      <c r="H604" t="s">
        <v>1873</v>
      </c>
      <c r="I604" t="s">
        <v>51</v>
      </c>
      <c r="J604">
        <v>30575.759999999998</v>
      </c>
      <c r="K604">
        <v>116</v>
      </c>
      <c r="L604" t="s">
        <v>28</v>
      </c>
      <c r="M604" s="1">
        <v>44910</v>
      </c>
      <c r="N604" t="s">
        <v>29</v>
      </c>
      <c r="O604" t="s">
        <v>61</v>
      </c>
      <c r="P604">
        <v>28</v>
      </c>
      <c r="Q604" t="s">
        <v>53</v>
      </c>
      <c r="R604" t="s">
        <v>44</v>
      </c>
      <c r="S604">
        <v>11</v>
      </c>
      <c r="T604">
        <v>2022</v>
      </c>
      <c r="U604" t="s">
        <v>62</v>
      </c>
    </row>
    <row r="605" spans="1:21" x14ac:dyDescent="0.3">
      <c r="A605" t="s">
        <v>1874</v>
      </c>
      <c r="B605">
        <v>32</v>
      </c>
      <c r="C605" t="s">
        <v>22</v>
      </c>
      <c r="D605" t="s">
        <v>56</v>
      </c>
      <c r="E605" t="s">
        <v>36</v>
      </c>
      <c r="F605" s="1">
        <v>44410</v>
      </c>
      <c r="G605" t="s">
        <v>1875</v>
      </c>
      <c r="H605" t="s">
        <v>1876</v>
      </c>
      <c r="I605" t="s">
        <v>39</v>
      </c>
      <c r="J605">
        <v>11941.63</v>
      </c>
      <c r="K605">
        <v>478</v>
      </c>
      <c r="L605" t="s">
        <v>28</v>
      </c>
      <c r="M605" s="1">
        <v>44434</v>
      </c>
      <c r="N605" t="s">
        <v>99</v>
      </c>
      <c r="O605" t="s">
        <v>30</v>
      </c>
      <c r="P605">
        <v>24</v>
      </c>
      <c r="Q605" t="s">
        <v>31</v>
      </c>
      <c r="R605" t="s">
        <v>32</v>
      </c>
      <c r="S605">
        <v>8</v>
      </c>
      <c r="T605">
        <v>2021</v>
      </c>
      <c r="U605" t="s">
        <v>45</v>
      </c>
    </row>
    <row r="606" spans="1:21" x14ac:dyDescent="0.3">
      <c r="A606" t="s">
        <v>1877</v>
      </c>
      <c r="B606">
        <v>70</v>
      </c>
      <c r="C606" t="s">
        <v>47</v>
      </c>
      <c r="D606" t="s">
        <v>35</v>
      </c>
      <c r="E606" t="s">
        <v>57</v>
      </c>
      <c r="F606" s="1">
        <v>43941</v>
      </c>
      <c r="G606" t="s">
        <v>1878</v>
      </c>
      <c r="H606" t="s">
        <v>1879</v>
      </c>
      <c r="I606" t="s">
        <v>39</v>
      </c>
      <c r="J606">
        <v>7422.73</v>
      </c>
      <c r="K606">
        <v>496</v>
      </c>
      <c r="L606" t="s">
        <v>60</v>
      </c>
      <c r="M606" s="1">
        <v>43944</v>
      </c>
      <c r="N606" t="s">
        <v>99</v>
      </c>
      <c r="O606" t="s">
        <v>61</v>
      </c>
      <c r="P606">
        <v>3</v>
      </c>
      <c r="Q606" t="s">
        <v>43</v>
      </c>
      <c r="R606" t="s">
        <v>100</v>
      </c>
      <c r="S606">
        <v>4</v>
      </c>
      <c r="T606">
        <v>2020</v>
      </c>
      <c r="U606" t="s">
        <v>94</v>
      </c>
    </row>
    <row r="607" spans="1:21" x14ac:dyDescent="0.3">
      <c r="A607" t="s">
        <v>1880</v>
      </c>
      <c r="B607">
        <v>50</v>
      </c>
      <c r="C607" t="s">
        <v>47</v>
      </c>
      <c r="D607" t="s">
        <v>149</v>
      </c>
      <c r="E607" t="s">
        <v>96</v>
      </c>
      <c r="F607" s="1">
        <v>45105</v>
      </c>
      <c r="G607" t="s">
        <v>1881</v>
      </c>
      <c r="H607" t="s">
        <v>1882</v>
      </c>
      <c r="I607" t="s">
        <v>39</v>
      </c>
      <c r="J607">
        <v>34005.550000000003</v>
      </c>
      <c r="K607">
        <v>368</v>
      </c>
      <c r="L607" t="s">
        <v>28</v>
      </c>
      <c r="M607" s="1">
        <v>45107</v>
      </c>
      <c r="N607" t="s">
        <v>41</v>
      </c>
      <c r="O607" t="s">
        <v>42</v>
      </c>
      <c r="P607">
        <v>2</v>
      </c>
      <c r="Q607" t="s">
        <v>68</v>
      </c>
      <c r="R607" t="s">
        <v>44</v>
      </c>
      <c r="S607">
        <v>6</v>
      </c>
      <c r="T607">
        <v>2023</v>
      </c>
      <c r="U607" t="s">
        <v>118</v>
      </c>
    </row>
    <row r="608" spans="1:21" x14ac:dyDescent="0.3">
      <c r="A608" t="s">
        <v>1883</v>
      </c>
      <c r="B608">
        <v>29</v>
      </c>
      <c r="C608" t="s">
        <v>22</v>
      </c>
      <c r="D608" t="s">
        <v>56</v>
      </c>
      <c r="E608" t="s">
        <v>70</v>
      </c>
      <c r="F608" s="1">
        <v>44657</v>
      </c>
      <c r="G608" t="s">
        <v>1884</v>
      </c>
      <c r="H608" t="s">
        <v>1885</v>
      </c>
      <c r="I608" t="s">
        <v>73</v>
      </c>
      <c r="J608">
        <v>48574.83</v>
      </c>
      <c r="K608">
        <v>448</v>
      </c>
      <c r="L608" t="s">
        <v>60</v>
      </c>
      <c r="M608" s="1">
        <v>44681</v>
      </c>
      <c r="N608" t="s">
        <v>67</v>
      </c>
      <c r="O608" t="s">
        <v>42</v>
      </c>
      <c r="P608">
        <v>24</v>
      </c>
      <c r="Q608" t="s">
        <v>31</v>
      </c>
      <c r="R608" t="s">
        <v>44</v>
      </c>
      <c r="S608">
        <v>4</v>
      </c>
      <c r="T608">
        <v>2022</v>
      </c>
      <c r="U608" t="s">
        <v>94</v>
      </c>
    </row>
    <row r="609" spans="1:21" x14ac:dyDescent="0.3">
      <c r="A609" t="s">
        <v>1886</v>
      </c>
      <c r="B609">
        <v>66</v>
      </c>
      <c r="C609" t="s">
        <v>47</v>
      </c>
      <c r="D609" t="s">
        <v>64</v>
      </c>
      <c r="E609" t="s">
        <v>24</v>
      </c>
      <c r="F609" s="1">
        <v>44286</v>
      </c>
      <c r="G609" t="s">
        <v>1887</v>
      </c>
      <c r="H609" t="s">
        <v>1888</v>
      </c>
      <c r="I609" t="s">
        <v>82</v>
      </c>
      <c r="J609">
        <v>45010.8</v>
      </c>
      <c r="K609">
        <v>302</v>
      </c>
      <c r="L609" t="s">
        <v>28</v>
      </c>
      <c r="M609" s="1">
        <v>44302</v>
      </c>
      <c r="N609" t="s">
        <v>99</v>
      </c>
      <c r="O609" t="s">
        <v>61</v>
      </c>
      <c r="P609">
        <v>16</v>
      </c>
      <c r="Q609" t="s">
        <v>43</v>
      </c>
      <c r="R609" t="s">
        <v>44</v>
      </c>
      <c r="S609">
        <v>3</v>
      </c>
      <c r="T609">
        <v>2021</v>
      </c>
      <c r="U609" t="s">
        <v>122</v>
      </c>
    </row>
    <row r="610" spans="1:21" x14ac:dyDescent="0.3">
      <c r="A610" t="s">
        <v>1889</v>
      </c>
      <c r="B610">
        <v>70</v>
      </c>
      <c r="C610" t="s">
        <v>22</v>
      </c>
      <c r="D610" t="s">
        <v>64</v>
      </c>
      <c r="E610" t="s">
        <v>36</v>
      </c>
      <c r="F610" s="1">
        <v>43897</v>
      </c>
      <c r="G610" t="s">
        <v>1890</v>
      </c>
      <c r="H610" t="s">
        <v>1891</v>
      </c>
      <c r="I610" t="s">
        <v>73</v>
      </c>
      <c r="J610">
        <v>7409.34</v>
      </c>
      <c r="K610">
        <v>418</v>
      </c>
      <c r="L610" t="s">
        <v>60</v>
      </c>
      <c r="M610" s="1">
        <v>43919</v>
      </c>
      <c r="N610" t="s">
        <v>52</v>
      </c>
      <c r="O610" t="s">
        <v>30</v>
      </c>
      <c r="P610">
        <v>22</v>
      </c>
      <c r="Q610" t="s">
        <v>43</v>
      </c>
      <c r="R610" t="s">
        <v>100</v>
      </c>
      <c r="S610">
        <v>3</v>
      </c>
      <c r="T610">
        <v>2020</v>
      </c>
      <c r="U610" t="s">
        <v>122</v>
      </c>
    </row>
    <row r="611" spans="1:21" x14ac:dyDescent="0.3">
      <c r="A611" t="s">
        <v>1892</v>
      </c>
      <c r="B611">
        <v>56</v>
      </c>
      <c r="C611" t="s">
        <v>47</v>
      </c>
      <c r="D611" t="s">
        <v>23</v>
      </c>
      <c r="E611" t="s">
        <v>24</v>
      </c>
      <c r="F611" s="1">
        <v>43985</v>
      </c>
      <c r="G611" t="s">
        <v>1893</v>
      </c>
      <c r="H611" t="s">
        <v>1894</v>
      </c>
      <c r="I611" t="s">
        <v>82</v>
      </c>
      <c r="J611">
        <v>34968.080000000002</v>
      </c>
      <c r="K611">
        <v>280</v>
      </c>
      <c r="L611" t="s">
        <v>28</v>
      </c>
      <c r="M611" s="1">
        <v>44003</v>
      </c>
      <c r="N611" t="s">
        <v>29</v>
      </c>
      <c r="O611" t="s">
        <v>61</v>
      </c>
      <c r="P611">
        <v>18</v>
      </c>
      <c r="Q611" t="s">
        <v>43</v>
      </c>
      <c r="R611" t="s">
        <v>44</v>
      </c>
      <c r="S611">
        <v>6</v>
      </c>
      <c r="T611">
        <v>2020</v>
      </c>
      <c r="U611" t="s">
        <v>118</v>
      </c>
    </row>
    <row r="612" spans="1:21" x14ac:dyDescent="0.3">
      <c r="A612" t="s">
        <v>1895</v>
      </c>
      <c r="B612">
        <v>85</v>
      </c>
      <c r="C612" t="s">
        <v>22</v>
      </c>
      <c r="D612" t="s">
        <v>23</v>
      </c>
      <c r="E612" t="s">
        <v>70</v>
      </c>
      <c r="F612" s="1">
        <v>44439</v>
      </c>
      <c r="G612" t="s">
        <v>1896</v>
      </c>
      <c r="H612" t="s">
        <v>1897</v>
      </c>
      <c r="I612" t="s">
        <v>51</v>
      </c>
      <c r="J612">
        <v>5648.18</v>
      </c>
      <c r="K612">
        <v>113</v>
      </c>
      <c r="L612" t="s">
        <v>60</v>
      </c>
      <c r="M612" s="1">
        <v>44456</v>
      </c>
      <c r="N612" t="s">
        <v>52</v>
      </c>
      <c r="O612" t="s">
        <v>42</v>
      </c>
      <c r="P612">
        <v>17</v>
      </c>
      <c r="Q612" t="s">
        <v>53</v>
      </c>
      <c r="R612" t="s">
        <v>100</v>
      </c>
      <c r="S612">
        <v>8</v>
      </c>
      <c r="T612">
        <v>2021</v>
      </c>
      <c r="U612" t="s">
        <v>45</v>
      </c>
    </row>
    <row r="613" spans="1:21" x14ac:dyDescent="0.3">
      <c r="A613" t="s">
        <v>1898</v>
      </c>
      <c r="B613">
        <v>67</v>
      </c>
      <c r="C613" t="s">
        <v>22</v>
      </c>
      <c r="D613" t="s">
        <v>64</v>
      </c>
      <c r="E613" t="s">
        <v>24</v>
      </c>
      <c r="F613" s="1">
        <v>44826</v>
      </c>
      <c r="G613" t="s">
        <v>1899</v>
      </c>
      <c r="H613" t="s">
        <v>1900</v>
      </c>
      <c r="I613" t="s">
        <v>73</v>
      </c>
      <c r="J613">
        <v>14227.32</v>
      </c>
      <c r="K613">
        <v>484</v>
      </c>
      <c r="L613" t="s">
        <v>60</v>
      </c>
      <c r="M613" s="1">
        <v>44845</v>
      </c>
      <c r="N613" t="s">
        <v>29</v>
      </c>
      <c r="O613" t="s">
        <v>30</v>
      </c>
      <c r="P613">
        <v>19</v>
      </c>
      <c r="Q613" t="s">
        <v>43</v>
      </c>
      <c r="R613" t="s">
        <v>32</v>
      </c>
      <c r="S613">
        <v>9</v>
      </c>
      <c r="T613">
        <v>2022</v>
      </c>
      <c r="U613" t="s">
        <v>54</v>
      </c>
    </row>
    <row r="614" spans="1:21" x14ac:dyDescent="0.3">
      <c r="A614" t="s">
        <v>1901</v>
      </c>
      <c r="B614">
        <v>50</v>
      </c>
      <c r="C614" t="s">
        <v>47</v>
      </c>
      <c r="D614" t="s">
        <v>127</v>
      </c>
      <c r="E614" t="s">
        <v>115</v>
      </c>
      <c r="F614" s="1">
        <v>44744</v>
      </c>
      <c r="G614" t="s">
        <v>1902</v>
      </c>
      <c r="H614" t="s">
        <v>1903</v>
      </c>
      <c r="I614" t="s">
        <v>39</v>
      </c>
      <c r="J614">
        <v>47551.57</v>
      </c>
      <c r="K614">
        <v>179</v>
      </c>
      <c r="L614" t="s">
        <v>60</v>
      </c>
      <c r="M614" s="1">
        <v>44757</v>
      </c>
      <c r="N614" t="s">
        <v>41</v>
      </c>
      <c r="O614" t="s">
        <v>42</v>
      </c>
      <c r="P614">
        <v>13</v>
      </c>
      <c r="Q614" t="s">
        <v>68</v>
      </c>
      <c r="R614" t="s">
        <v>44</v>
      </c>
      <c r="S614">
        <v>7</v>
      </c>
      <c r="T614">
        <v>2022</v>
      </c>
      <c r="U614" t="s">
        <v>86</v>
      </c>
    </row>
    <row r="615" spans="1:21" x14ac:dyDescent="0.3">
      <c r="A615" t="s">
        <v>1904</v>
      </c>
      <c r="B615">
        <v>52</v>
      </c>
      <c r="C615" t="s">
        <v>47</v>
      </c>
      <c r="D615" t="s">
        <v>56</v>
      </c>
      <c r="E615" t="s">
        <v>70</v>
      </c>
      <c r="F615" s="1">
        <v>43634</v>
      </c>
      <c r="G615" t="s">
        <v>1905</v>
      </c>
      <c r="H615" t="s">
        <v>1906</v>
      </c>
      <c r="I615" t="s">
        <v>51</v>
      </c>
      <c r="J615">
        <v>42301.91</v>
      </c>
      <c r="K615">
        <v>132</v>
      </c>
      <c r="L615" t="s">
        <v>60</v>
      </c>
      <c r="M615" s="1">
        <v>43654</v>
      </c>
      <c r="N615" t="s">
        <v>52</v>
      </c>
      <c r="O615" t="s">
        <v>61</v>
      </c>
      <c r="P615">
        <v>20</v>
      </c>
      <c r="Q615" t="s">
        <v>68</v>
      </c>
      <c r="R615" t="s">
        <v>44</v>
      </c>
      <c r="S615">
        <v>6</v>
      </c>
      <c r="T615">
        <v>2019</v>
      </c>
      <c r="U615" t="s">
        <v>118</v>
      </c>
    </row>
    <row r="616" spans="1:21" x14ac:dyDescent="0.3">
      <c r="A616" t="s">
        <v>1907</v>
      </c>
      <c r="B616">
        <v>84</v>
      </c>
      <c r="C616" t="s">
        <v>22</v>
      </c>
      <c r="D616" t="s">
        <v>23</v>
      </c>
      <c r="E616" t="s">
        <v>96</v>
      </c>
      <c r="F616" s="1">
        <v>43665</v>
      </c>
      <c r="G616" t="s">
        <v>1908</v>
      </c>
      <c r="H616" t="s">
        <v>1909</v>
      </c>
      <c r="I616" t="s">
        <v>51</v>
      </c>
      <c r="J616">
        <v>2275.64</v>
      </c>
      <c r="K616">
        <v>335</v>
      </c>
      <c r="L616" t="s">
        <v>28</v>
      </c>
      <c r="M616" s="1">
        <v>43685</v>
      </c>
      <c r="N616" t="s">
        <v>52</v>
      </c>
      <c r="O616" t="s">
        <v>30</v>
      </c>
      <c r="P616">
        <v>20</v>
      </c>
      <c r="Q616" t="s">
        <v>53</v>
      </c>
      <c r="R616" t="s">
        <v>100</v>
      </c>
      <c r="S616">
        <v>7</v>
      </c>
      <c r="T616">
        <v>2019</v>
      </c>
      <c r="U616" t="s">
        <v>86</v>
      </c>
    </row>
    <row r="617" spans="1:21" x14ac:dyDescent="0.3">
      <c r="A617" t="s">
        <v>1910</v>
      </c>
      <c r="B617">
        <v>70</v>
      </c>
      <c r="C617" t="s">
        <v>22</v>
      </c>
      <c r="D617" t="s">
        <v>48</v>
      </c>
      <c r="E617" t="s">
        <v>24</v>
      </c>
      <c r="F617" s="1">
        <v>44567</v>
      </c>
      <c r="G617" t="s">
        <v>1911</v>
      </c>
      <c r="H617" t="s">
        <v>1912</v>
      </c>
      <c r="I617" t="s">
        <v>82</v>
      </c>
      <c r="J617">
        <v>10003.67</v>
      </c>
      <c r="K617">
        <v>169</v>
      </c>
      <c r="L617" t="s">
        <v>60</v>
      </c>
      <c r="M617" s="1">
        <v>44588</v>
      </c>
      <c r="N617" t="s">
        <v>29</v>
      </c>
      <c r="O617" t="s">
        <v>30</v>
      </c>
      <c r="P617">
        <v>21</v>
      </c>
      <c r="Q617" t="s">
        <v>43</v>
      </c>
      <c r="R617" t="s">
        <v>32</v>
      </c>
      <c r="S617">
        <v>1</v>
      </c>
      <c r="T617">
        <v>2022</v>
      </c>
      <c r="U617" t="s">
        <v>33</v>
      </c>
    </row>
    <row r="618" spans="1:21" x14ac:dyDescent="0.3">
      <c r="A618" t="s">
        <v>1913</v>
      </c>
      <c r="B618">
        <v>66</v>
      </c>
      <c r="C618" t="s">
        <v>22</v>
      </c>
      <c r="D618" t="s">
        <v>76</v>
      </c>
      <c r="E618" t="s">
        <v>57</v>
      </c>
      <c r="F618" s="1">
        <v>44600</v>
      </c>
      <c r="G618" t="s">
        <v>1914</v>
      </c>
      <c r="H618" t="s">
        <v>1915</v>
      </c>
      <c r="I618" t="s">
        <v>51</v>
      </c>
      <c r="J618">
        <v>42653.77</v>
      </c>
      <c r="K618">
        <v>263</v>
      </c>
      <c r="L618" t="s">
        <v>28</v>
      </c>
      <c r="M618" s="1">
        <v>44620</v>
      </c>
      <c r="N618" t="s">
        <v>99</v>
      </c>
      <c r="O618" t="s">
        <v>30</v>
      </c>
      <c r="P618">
        <v>20</v>
      </c>
      <c r="Q618" t="s">
        <v>43</v>
      </c>
      <c r="R618" t="s">
        <v>44</v>
      </c>
      <c r="S618">
        <v>2</v>
      </c>
      <c r="T618">
        <v>2022</v>
      </c>
      <c r="U618" t="s">
        <v>278</v>
      </c>
    </row>
    <row r="619" spans="1:21" x14ac:dyDescent="0.3">
      <c r="A619" t="s">
        <v>1916</v>
      </c>
      <c r="B619">
        <v>74</v>
      </c>
      <c r="C619" t="s">
        <v>22</v>
      </c>
      <c r="D619" t="s">
        <v>76</v>
      </c>
      <c r="E619" t="s">
        <v>96</v>
      </c>
      <c r="F619" s="1">
        <v>44904</v>
      </c>
      <c r="G619" t="s">
        <v>1917</v>
      </c>
      <c r="H619" t="s">
        <v>1918</v>
      </c>
      <c r="I619" t="s">
        <v>82</v>
      </c>
      <c r="J619">
        <v>10722.5</v>
      </c>
      <c r="K619">
        <v>206</v>
      </c>
      <c r="L619" t="s">
        <v>60</v>
      </c>
      <c r="M619" s="1">
        <v>44923</v>
      </c>
      <c r="N619" t="s">
        <v>67</v>
      </c>
      <c r="O619" t="s">
        <v>42</v>
      </c>
      <c r="P619">
        <v>19</v>
      </c>
      <c r="Q619" t="s">
        <v>53</v>
      </c>
      <c r="R619" t="s">
        <v>32</v>
      </c>
      <c r="S619">
        <v>12</v>
      </c>
      <c r="T619">
        <v>2022</v>
      </c>
      <c r="U619" t="s">
        <v>74</v>
      </c>
    </row>
    <row r="620" spans="1:21" x14ac:dyDescent="0.3">
      <c r="A620" t="s">
        <v>1919</v>
      </c>
      <c r="B620">
        <v>75</v>
      </c>
      <c r="C620" t="s">
        <v>47</v>
      </c>
      <c r="D620" t="s">
        <v>56</v>
      </c>
      <c r="E620" t="s">
        <v>36</v>
      </c>
      <c r="F620" s="1">
        <v>43996</v>
      </c>
      <c r="G620" t="s">
        <v>1920</v>
      </c>
      <c r="H620" t="s">
        <v>1921</v>
      </c>
      <c r="I620" t="s">
        <v>27</v>
      </c>
      <c r="J620">
        <v>47516.52</v>
      </c>
      <c r="K620">
        <v>356</v>
      </c>
      <c r="L620" t="s">
        <v>28</v>
      </c>
      <c r="M620" s="1">
        <v>44002</v>
      </c>
      <c r="N620" t="s">
        <v>99</v>
      </c>
      <c r="O620" t="s">
        <v>30</v>
      </c>
      <c r="P620">
        <v>6</v>
      </c>
      <c r="Q620" t="s">
        <v>53</v>
      </c>
      <c r="R620" t="s">
        <v>44</v>
      </c>
      <c r="S620">
        <v>6</v>
      </c>
      <c r="T620">
        <v>2020</v>
      </c>
      <c r="U620" t="s">
        <v>118</v>
      </c>
    </row>
    <row r="621" spans="1:21" x14ac:dyDescent="0.3">
      <c r="A621" t="s">
        <v>1922</v>
      </c>
      <c r="B621">
        <v>61</v>
      </c>
      <c r="C621" t="s">
        <v>22</v>
      </c>
      <c r="D621" t="s">
        <v>127</v>
      </c>
      <c r="E621" t="s">
        <v>36</v>
      </c>
      <c r="F621" s="1">
        <v>44267</v>
      </c>
      <c r="G621" t="s">
        <v>1923</v>
      </c>
      <c r="H621" t="s">
        <v>1924</v>
      </c>
      <c r="I621" t="s">
        <v>82</v>
      </c>
      <c r="J621">
        <v>41379.379999999997</v>
      </c>
      <c r="K621">
        <v>354</v>
      </c>
      <c r="L621" t="s">
        <v>28</v>
      </c>
      <c r="M621" s="1">
        <v>44280</v>
      </c>
      <c r="N621" t="s">
        <v>99</v>
      </c>
      <c r="O621" t="s">
        <v>42</v>
      </c>
      <c r="P621">
        <v>13</v>
      </c>
      <c r="Q621" t="s">
        <v>43</v>
      </c>
      <c r="R621" t="s">
        <v>44</v>
      </c>
      <c r="S621">
        <v>3</v>
      </c>
      <c r="T621">
        <v>2021</v>
      </c>
      <c r="U621" t="s">
        <v>122</v>
      </c>
    </row>
    <row r="622" spans="1:21" x14ac:dyDescent="0.3">
      <c r="A622" t="s">
        <v>1925</v>
      </c>
      <c r="B622">
        <v>82</v>
      </c>
      <c r="C622" t="s">
        <v>22</v>
      </c>
      <c r="D622" t="s">
        <v>64</v>
      </c>
      <c r="E622" t="s">
        <v>70</v>
      </c>
      <c r="F622" s="1">
        <v>44922</v>
      </c>
      <c r="G622" t="s">
        <v>1926</v>
      </c>
      <c r="H622" t="s">
        <v>1927</v>
      </c>
      <c r="I622" t="s">
        <v>73</v>
      </c>
      <c r="J622">
        <v>27481.33</v>
      </c>
      <c r="K622">
        <v>411</v>
      </c>
      <c r="L622" t="s">
        <v>60</v>
      </c>
      <c r="M622" s="1">
        <v>44938</v>
      </c>
      <c r="N622" t="s">
        <v>29</v>
      </c>
      <c r="O622" t="s">
        <v>61</v>
      </c>
      <c r="P622">
        <v>16</v>
      </c>
      <c r="Q622" t="s">
        <v>53</v>
      </c>
      <c r="R622" t="s">
        <v>32</v>
      </c>
      <c r="S622">
        <v>12</v>
      </c>
      <c r="T622">
        <v>2022</v>
      </c>
      <c r="U622" t="s">
        <v>74</v>
      </c>
    </row>
    <row r="623" spans="1:21" x14ac:dyDescent="0.3">
      <c r="A623" t="s">
        <v>1928</v>
      </c>
      <c r="B623">
        <v>51</v>
      </c>
      <c r="C623" t="s">
        <v>47</v>
      </c>
      <c r="D623" t="s">
        <v>48</v>
      </c>
      <c r="E623" t="s">
        <v>36</v>
      </c>
      <c r="F623" s="1">
        <v>43807</v>
      </c>
      <c r="G623" t="s">
        <v>1929</v>
      </c>
      <c r="H623" t="s">
        <v>527</v>
      </c>
      <c r="I623" t="s">
        <v>82</v>
      </c>
      <c r="J623">
        <v>32006.03</v>
      </c>
      <c r="K623">
        <v>200</v>
      </c>
      <c r="L623" t="s">
        <v>28</v>
      </c>
      <c r="M623" s="1">
        <v>43835</v>
      </c>
      <c r="N623" t="s">
        <v>67</v>
      </c>
      <c r="O623" t="s">
        <v>30</v>
      </c>
      <c r="P623">
        <v>28</v>
      </c>
      <c r="Q623" t="s">
        <v>68</v>
      </c>
      <c r="R623" t="s">
        <v>44</v>
      </c>
      <c r="S623">
        <v>12</v>
      </c>
      <c r="T623">
        <v>2019</v>
      </c>
      <c r="U623" t="s">
        <v>74</v>
      </c>
    </row>
    <row r="624" spans="1:21" x14ac:dyDescent="0.3">
      <c r="A624" t="s">
        <v>1930</v>
      </c>
      <c r="B624">
        <v>37</v>
      </c>
      <c r="C624" t="s">
        <v>47</v>
      </c>
      <c r="D624" t="s">
        <v>48</v>
      </c>
      <c r="E624" t="s">
        <v>115</v>
      </c>
      <c r="F624" s="1">
        <v>45096</v>
      </c>
      <c r="G624" t="s">
        <v>1931</v>
      </c>
      <c r="H624" t="s">
        <v>1932</v>
      </c>
      <c r="I624" t="s">
        <v>73</v>
      </c>
      <c r="J624">
        <v>14405.94</v>
      </c>
      <c r="K624">
        <v>312</v>
      </c>
      <c r="L624" t="s">
        <v>60</v>
      </c>
      <c r="M624" s="1">
        <v>45121</v>
      </c>
      <c r="N624" t="s">
        <v>99</v>
      </c>
      <c r="O624" t="s">
        <v>42</v>
      </c>
      <c r="P624">
        <v>25</v>
      </c>
      <c r="Q624" t="s">
        <v>68</v>
      </c>
      <c r="R624" t="s">
        <v>32</v>
      </c>
      <c r="S624">
        <v>6</v>
      </c>
      <c r="T624">
        <v>2023</v>
      </c>
      <c r="U624" t="s">
        <v>118</v>
      </c>
    </row>
    <row r="625" spans="1:21" x14ac:dyDescent="0.3">
      <c r="A625" t="s">
        <v>1933</v>
      </c>
      <c r="B625">
        <v>51</v>
      </c>
      <c r="C625" t="s">
        <v>22</v>
      </c>
      <c r="D625" t="s">
        <v>127</v>
      </c>
      <c r="E625" t="s">
        <v>96</v>
      </c>
      <c r="F625" s="1">
        <v>43595</v>
      </c>
      <c r="G625" t="s">
        <v>1934</v>
      </c>
      <c r="H625" t="s">
        <v>1935</v>
      </c>
      <c r="I625" t="s">
        <v>73</v>
      </c>
      <c r="J625">
        <v>24691.25</v>
      </c>
      <c r="K625">
        <v>484</v>
      </c>
      <c r="L625" t="s">
        <v>28</v>
      </c>
      <c r="M625" s="1">
        <v>43623</v>
      </c>
      <c r="N625" t="s">
        <v>67</v>
      </c>
      <c r="O625" t="s">
        <v>30</v>
      </c>
      <c r="P625">
        <v>28</v>
      </c>
      <c r="Q625" t="s">
        <v>68</v>
      </c>
      <c r="R625" t="s">
        <v>32</v>
      </c>
      <c r="S625">
        <v>5</v>
      </c>
      <c r="T625">
        <v>2019</v>
      </c>
      <c r="U625" t="s">
        <v>90</v>
      </c>
    </row>
    <row r="626" spans="1:21" x14ac:dyDescent="0.3">
      <c r="A626" t="s">
        <v>1936</v>
      </c>
      <c r="B626">
        <v>23</v>
      </c>
      <c r="C626" t="s">
        <v>22</v>
      </c>
      <c r="D626" t="s">
        <v>48</v>
      </c>
      <c r="E626" t="s">
        <v>70</v>
      </c>
      <c r="F626" s="1">
        <v>44358</v>
      </c>
      <c r="G626" t="s">
        <v>1937</v>
      </c>
      <c r="H626" t="s">
        <v>1938</v>
      </c>
      <c r="I626" t="s">
        <v>27</v>
      </c>
      <c r="J626">
        <v>47491.39</v>
      </c>
      <c r="K626">
        <v>305</v>
      </c>
      <c r="L626" t="s">
        <v>60</v>
      </c>
      <c r="M626" s="1">
        <v>44374</v>
      </c>
      <c r="N626" t="s">
        <v>41</v>
      </c>
      <c r="O626" t="s">
        <v>61</v>
      </c>
      <c r="P626">
        <v>16</v>
      </c>
      <c r="Q626" t="s">
        <v>31</v>
      </c>
      <c r="R626" t="s">
        <v>44</v>
      </c>
      <c r="S626">
        <v>6</v>
      </c>
      <c r="T626">
        <v>2021</v>
      </c>
      <c r="U626" t="s">
        <v>118</v>
      </c>
    </row>
    <row r="627" spans="1:21" x14ac:dyDescent="0.3">
      <c r="A627" t="s">
        <v>1939</v>
      </c>
      <c r="B627">
        <v>70</v>
      </c>
      <c r="C627" t="s">
        <v>22</v>
      </c>
      <c r="D627" t="s">
        <v>23</v>
      </c>
      <c r="E627" t="s">
        <v>70</v>
      </c>
      <c r="F627" s="1">
        <v>43765</v>
      </c>
      <c r="G627" t="s">
        <v>1940</v>
      </c>
      <c r="H627" t="s">
        <v>1941</v>
      </c>
      <c r="I627" t="s">
        <v>27</v>
      </c>
      <c r="J627">
        <v>37861.51</v>
      </c>
      <c r="K627">
        <v>428</v>
      </c>
      <c r="L627" t="s">
        <v>40</v>
      </c>
      <c r="M627" s="1">
        <v>43781</v>
      </c>
      <c r="N627" t="s">
        <v>99</v>
      </c>
      <c r="O627" t="s">
        <v>30</v>
      </c>
      <c r="P627">
        <v>16</v>
      </c>
      <c r="Q627" t="s">
        <v>43</v>
      </c>
      <c r="R627" t="s">
        <v>44</v>
      </c>
      <c r="S627">
        <v>10</v>
      </c>
      <c r="T627">
        <v>2019</v>
      </c>
      <c r="U627" t="s">
        <v>110</v>
      </c>
    </row>
    <row r="628" spans="1:21" x14ac:dyDescent="0.3">
      <c r="A628" t="s">
        <v>1942</v>
      </c>
      <c r="B628">
        <v>60</v>
      </c>
      <c r="C628" t="s">
        <v>47</v>
      </c>
      <c r="D628" t="s">
        <v>127</v>
      </c>
      <c r="E628" t="s">
        <v>24</v>
      </c>
      <c r="F628" s="1">
        <v>44800</v>
      </c>
      <c r="G628" t="s">
        <v>1943</v>
      </c>
      <c r="H628" t="s">
        <v>1944</v>
      </c>
      <c r="I628" t="s">
        <v>51</v>
      </c>
      <c r="J628">
        <v>22952.73</v>
      </c>
      <c r="K628">
        <v>342</v>
      </c>
      <c r="L628" t="s">
        <v>60</v>
      </c>
      <c r="M628" s="1">
        <v>44819</v>
      </c>
      <c r="N628" t="s">
        <v>67</v>
      </c>
      <c r="O628" t="s">
        <v>30</v>
      </c>
      <c r="P628">
        <v>19</v>
      </c>
      <c r="Q628" t="s">
        <v>43</v>
      </c>
      <c r="R628" t="s">
        <v>32</v>
      </c>
      <c r="S628">
        <v>8</v>
      </c>
      <c r="T628">
        <v>2022</v>
      </c>
      <c r="U628" t="s">
        <v>45</v>
      </c>
    </row>
    <row r="629" spans="1:21" x14ac:dyDescent="0.3">
      <c r="A629" t="s">
        <v>1945</v>
      </c>
      <c r="B629">
        <v>45</v>
      </c>
      <c r="C629" t="s">
        <v>47</v>
      </c>
      <c r="D629" t="s">
        <v>35</v>
      </c>
      <c r="E629" t="s">
        <v>115</v>
      </c>
      <c r="F629" s="1">
        <v>43685</v>
      </c>
      <c r="G629" t="s">
        <v>1946</v>
      </c>
      <c r="H629" t="s">
        <v>1947</v>
      </c>
      <c r="I629" t="s">
        <v>73</v>
      </c>
      <c r="J629">
        <v>2735.03</v>
      </c>
      <c r="K629">
        <v>497</v>
      </c>
      <c r="L629" t="s">
        <v>40</v>
      </c>
      <c r="M629" s="1">
        <v>43691</v>
      </c>
      <c r="N629" t="s">
        <v>67</v>
      </c>
      <c r="O629" t="s">
        <v>42</v>
      </c>
      <c r="P629">
        <v>6</v>
      </c>
      <c r="Q629" t="s">
        <v>68</v>
      </c>
      <c r="R629" t="s">
        <v>100</v>
      </c>
      <c r="S629">
        <v>8</v>
      </c>
      <c r="T629">
        <v>2019</v>
      </c>
      <c r="U629" t="s">
        <v>45</v>
      </c>
    </row>
    <row r="630" spans="1:21" x14ac:dyDescent="0.3">
      <c r="A630" t="s">
        <v>1948</v>
      </c>
      <c r="B630">
        <v>30</v>
      </c>
      <c r="C630" t="s">
        <v>22</v>
      </c>
      <c r="D630" t="s">
        <v>48</v>
      </c>
      <c r="E630" t="s">
        <v>115</v>
      </c>
      <c r="F630" s="1">
        <v>44969</v>
      </c>
      <c r="G630" t="s">
        <v>1949</v>
      </c>
      <c r="H630" t="s">
        <v>1950</v>
      </c>
      <c r="I630" t="s">
        <v>39</v>
      </c>
      <c r="J630">
        <v>37755.480000000003</v>
      </c>
      <c r="K630">
        <v>128</v>
      </c>
      <c r="L630" t="s">
        <v>60</v>
      </c>
      <c r="M630" s="1">
        <v>44974</v>
      </c>
      <c r="N630" t="s">
        <v>29</v>
      </c>
      <c r="O630" t="s">
        <v>30</v>
      </c>
      <c r="P630">
        <v>5</v>
      </c>
      <c r="Q630" t="s">
        <v>31</v>
      </c>
      <c r="R630" t="s">
        <v>44</v>
      </c>
      <c r="S630">
        <v>2</v>
      </c>
      <c r="T630">
        <v>2023</v>
      </c>
      <c r="U630" t="s">
        <v>278</v>
      </c>
    </row>
    <row r="631" spans="1:21" x14ac:dyDescent="0.3">
      <c r="A631" t="s">
        <v>1951</v>
      </c>
      <c r="B631">
        <v>35</v>
      </c>
      <c r="C631" t="s">
        <v>22</v>
      </c>
      <c r="D631" t="s">
        <v>35</v>
      </c>
      <c r="E631" t="s">
        <v>96</v>
      </c>
      <c r="F631" s="1">
        <v>44320</v>
      </c>
      <c r="G631" t="s">
        <v>1952</v>
      </c>
      <c r="H631" t="s">
        <v>1953</v>
      </c>
      <c r="I631" t="s">
        <v>39</v>
      </c>
      <c r="J631">
        <v>2691.05</v>
      </c>
      <c r="K631">
        <v>338</v>
      </c>
      <c r="L631" t="s">
        <v>60</v>
      </c>
      <c r="M631" s="1">
        <v>44326</v>
      </c>
      <c r="N631" t="s">
        <v>67</v>
      </c>
      <c r="O631" t="s">
        <v>42</v>
      </c>
      <c r="P631">
        <v>6</v>
      </c>
      <c r="Q631" t="s">
        <v>31</v>
      </c>
      <c r="R631" t="s">
        <v>100</v>
      </c>
      <c r="S631">
        <v>5</v>
      </c>
      <c r="T631">
        <v>2021</v>
      </c>
      <c r="U631" t="s">
        <v>90</v>
      </c>
    </row>
    <row r="632" spans="1:21" x14ac:dyDescent="0.3">
      <c r="A632" t="s">
        <v>1954</v>
      </c>
      <c r="B632">
        <v>51</v>
      </c>
      <c r="C632" t="s">
        <v>47</v>
      </c>
      <c r="D632" t="s">
        <v>56</v>
      </c>
      <c r="E632" t="s">
        <v>36</v>
      </c>
      <c r="F632" s="1">
        <v>44388</v>
      </c>
      <c r="G632" t="s">
        <v>1955</v>
      </c>
      <c r="H632" t="s">
        <v>1956</v>
      </c>
      <c r="I632" t="s">
        <v>51</v>
      </c>
      <c r="J632">
        <v>7897.29</v>
      </c>
      <c r="K632">
        <v>335</v>
      </c>
      <c r="L632" t="s">
        <v>60</v>
      </c>
      <c r="M632" s="1">
        <v>44405</v>
      </c>
      <c r="N632" t="s">
        <v>99</v>
      </c>
      <c r="O632" t="s">
        <v>30</v>
      </c>
      <c r="P632">
        <v>17</v>
      </c>
      <c r="Q632" t="s">
        <v>68</v>
      </c>
      <c r="R632" t="s">
        <v>100</v>
      </c>
      <c r="S632">
        <v>7</v>
      </c>
      <c r="T632">
        <v>2021</v>
      </c>
      <c r="U632" t="s">
        <v>86</v>
      </c>
    </row>
    <row r="633" spans="1:21" x14ac:dyDescent="0.3">
      <c r="A633" t="s">
        <v>1957</v>
      </c>
      <c r="B633">
        <v>61</v>
      </c>
      <c r="C633" t="s">
        <v>22</v>
      </c>
      <c r="D633" t="s">
        <v>35</v>
      </c>
      <c r="E633" t="s">
        <v>57</v>
      </c>
      <c r="F633" s="1">
        <v>44237</v>
      </c>
      <c r="G633" t="s">
        <v>1958</v>
      </c>
      <c r="H633" t="s">
        <v>1959</v>
      </c>
      <c r="I633" t="s">
        <v>39</v>
      </c>
      <c r="J633">
        <v>4446.34</v>
      </c>
      <c r="K633">
        <v>345</v>
      </c>
      <c r="L633" t="s">
        <v>40</v>
      </c>
      <c r="M633" s="1">
        <v>44245</v>
      </c>
      <c r="N633" t="s">
        <v>99</v>
      </c>
      <c r="O633" t="s">
        <v>42</v>
      </c>
      <c r="P633">
        <v>8</v>
      </c>
      <c r="Q633" t="s">
        <v>43</v>
      </c>
      <c r="R633" t="s">
        <v>100</v>
      </c>
      <c r="S633">
        <v>2</v>
      </c>
      <c r="T633">
        <v>2021</v>
      </c>
      <c r="U633" t="s">
        <v>278</v>
      </c>
    </row>
    <row r="634" spans="1:21" x14ac:dyDescent="0.3">
      <c r="A634" t="s">
        <v>1960</v>
      </c>
      <c r="B634">
        <v>52</v>
      </c>
      <c r="C634" t="s">
        <v>47</v>
      </c>
      <c r="D634" t="s">
        <v>64</v>
      </c>
      <c r="E634" t="s">
        <v>57</v>
      </c>
      <c r="F634" s="1">
        <v>44485</v>
      </c>
      <c r="G634" t="s">
        <v>1961</v>
      </c>
      <c r="H634" t="s">
        <v>1962</v>
      </c>
      <c r="I634" t="s">
        <v>27</v>
      </c>
      <c r="J634">
        <v>20852.150000000001</v>
      </c>
      <c r="K634">
        <v>380</v>
      </c>
      <c r="L634" t="s">
        <v>60</v>
      </c>
      <c r="M634" s="1">
        <v>44504</v>
      </c>
      <c r="N634" t="s">
        <v>67</v>
      </c>
      <c r="O634" t="s">
        <v>30</v>
      </c>
      <c r="P634">
        <v>19</v>
      </c>
      <c r="Q634" t="s">
        <v>68</v>
      </c>
      <c r="R634" t="s">
        <v>32</v>
      </c>
      <c r="S634">
        <v>10</v>
      </c>
      <c r="T634">
        <v>2021</v>
      </c>
      <c r="U634" t="s">
        <v>110</v>
      </c>
    </row>
    <row r="635" spans="1:21" x14ac:dyDescent="0.3">
      <c r="A635" t="s">
        <v>1963</v>
      </c>
      <c r="B635">
        <v>64</v>
      </c>
      <c r="C635" t="s">
        <v>47</v>
      </c>
      <c r="D635" t="s">
        <v>127</v>
      </c>
      <c r="E635" t="s">
        <v>57</v>
      </c>
      <c r="F635" s="1">
        <v>43741</v>
      </c>
      <c r="G635" t="s">
        <v>1964</v>
      </c>
      <c r="H635" t="s">
        <v>1965</v>
      </c>
      <c r="I635" t="s">
        <v>73</v>
      </c>
      <c r="J635">
        <v>47701.48</v>
      </c>
      <c r="K635">
        <v>109</v>
      </c>
      <c r="L635" t="s">
        <v>28</v>
      </c>
      <c r="M635" s="1">
        <v>43763</v>
      </c>
      <c r="N635" t="s">
        <v>99</v>
      </c>
      <c r="O635" t="s">
        <v>42</v>
      </c>
      <c r="P635">
        <v>22</v>
      </c>
      <c r="Q635" t="s">
        <v>43</v>
      </c>
      <c r="R635" t="s">
        <v>44</v>
      </c>
      <c r="S635">
        <v>10</v>
      </c>
      <c r="T635">
        <v>2019</v>
      </c>
      <c r="U635" t="s">
        <v>110</v>
      </c>
    </row>
    <row r="636" spans="1:21" x14ac:dyDescent="0.3">
      <c r="A636" t="s">
        <v>1966</v>
      </c>
      <c r="B636">
        <v>25</v>
      </c>
      <c r="C636" t="s">
        <v>22</v>
      </c>
      <c r="D636" t="s">
        <v>35</v>
      </c>
      <c r="E636" t="s">
        <v>36</v>
      </c>
      <c r="F636" s="1">
        <v>43947</v>
      </c>
      <c r="G636" t="s">
        <v>1967</v>
      </c>
      <c r="H636" t="s">
        <v>1968</v>
      </c>
      <c r="I636" t="s">
        <v>51</v>
      </c>
      <c r="J636">
        <v>49934.14</v>
      </c>
      <c r="K636">
        <v>258</v>
      </c>
      <c r="L636" t="s">
        <v>60</v>
      </c>
      <c r="M636" s="1">
        <v>43953</v>
      </c>
      <c r="N636" t="s">
        <v>52</v>
      </c>
      <c r="O636" t="s">
        <v>61</v>
      </c>
      <c r="P636">
        <v>6</v>
      </c>
      <c r="Q636" t="s">
        <v>31</v>
      </c>
      <c r="R636" t="s">
        <v>44</v>
      </c>
      <c r="S636">
        <v>4</v>
      </c>
      <c r="T636">
        <v>2020</v>
      </c>
      <c r="U636" t="s">
        <v>94</v>
      </c>
    </row>
    <row r="637" spans="1:21" x14ac:dyDescent="0.3">
      <c r="A637" t="s">
        <v>1969</v>
      </c>
      <c r="B637">
        <v>76</v>
      </c>
      <c r="C637" t="s">
        <v>47</v>
      </c>
      <c r="D637" t="s">
        <v>23</v>
      </c>
      <c r="E637" t="s">
        <v>36</v>
      </c>
      <c r="F637" s="1">
        <v>43721</v>
      </c>
      <c r="G637" t="s">
        <v>1970</v>
      </c>
      <c r="H637" t="s">
        <v>1971</v>
      </c>
      <c r="I637" t="s">
        <v>39</v>
      </c>
      <c r="J637">
        <v>17263.95</v>
      </c>
      <c r="K637">
        <v>394</v>
      </c>
      <c r="L637" t="s">
        <v>40</v>
      </c>
      <c r="M637" s="1">
        <v>43727</v>
      </c>
      <c r="N637" t="s">
        <v>67</v>
      </c>
      <c r="O637" t="s">
        <v>61</v>
      </c>
      <c r="P637">
        <v>6</v>
      </c>
      <c r="Q637" t="s">
        <v>53</v>
      </c>
      <c r="R637" t="s">
        <v>32</v>
      </c>
      <c r="S637">
        <v>9</v>
      </c>
      <c r="T637">
        <v>2019</v>
      </c>
      <c r="U637" t="s">
        <v>54</v>
      </c>
    </row>
    <row r="638" spans="1:21" x14ac:dyDescent="0.3">
      <c r="A638" t="s">
        <v>1972</v>
      </c>
      <c r="B638">
        <v>52</v>
      </c>
      <c r="C638" t="s">
        <v>47</v>
      </c>
      <c r="D638" t="s">
        <v>23</v>
      </c>
      <c r="E638" t="s">
        <v>57</v>
      </c>
      <c r="F638" s="1">
        <v>44581</v>
      </c>
      <c r="G638" t="s">
        <v>1973</v>
      </c>
      <c r="H638" t="s">
        <v>1974</v>
      </c>
      <c r="I638" t="s">
        <v>51</v>
      </c>
      <c r="J638">
        <v>45274.400000000001</v>
      </c>
      <c r="K638">
        <v>102</v>
      </c>
      <c r="L638" t="s">
        <v>40</v>
      </c>
      <c r="M638" s="1">
        <v>44598</v>
      </c>
      <c r="N638" t="s">
        <v>67</v>
      </c>
      <c r="O638" t="s">
        <v>42</v>
      </c>
      <c r="P638">
        <v>17</v>
      </c>
      <c r="Q638" t="s">
        <v>68</v>
      </c>
      <c r="R638" t="s">
        <v>44</v>
      </c>
      <c r="S638">
        <v>1</v>
      </c>
      <c r="T638">
        <v>2022</v>
      </c>
      <c r="U638" t="s">
        <v>33</v>
      </c>
    </row>
    <row r="639" spans="1:21" x14ac:dyDescent="0.3">
      <c r="A639" t="s">
        <v>1975</v>
      </c>
      <c r="B639">
        <v>77</v>
      </c>
      <c r="C639" t="s">
        <v>22</v>
      </c>
      <c r="D639" t="s">
        <v>127</v>
      </c>
      <c r="E639" t="s">
        <v>36</v>
      </c>
      <c r="F639" s="1">
        <v>45213</v>
      </c>
      <c r="G639" t="s">
        <v>1976</v>
      </c>
      <c r="H639" t="s">
        <v>1977</v>
      </c>
      <c r="I639" t="s">
        <v>39</v>
      </c>
      <c r="J639">
        <v>10057.92</v>
      </c>
      <c r="K639">
        <v>130</v>
      </c>
      <c r="L639" t="s">
        <v>60</v>
      </c>
      <c r="M639" s="1">
        <v>45234</v>
      </c>
      <c r="N639" t="s">
        <v>29</v>
      </c>
      <c r="O639" t="s">
        <v>61</v>
      </c>
      <c r="P639">
        <v>21</v>
      </c>
      <c r="Q639" t="s">
        <v>53</v>
      </c>
      <c r="R639" t="s">
        <v>32</v>
      </c>
      <c r="S639">
        <v>10</v>
      </c>
      <c r="T639">
        <v>2023</v>
      </c>
      <c r="U639" t="s">
        <v>110</v>
      </c>
    </row>
    <row r="640" spans="1:21" x14ac:dyDescent="0.3">
      <c r="A640" t="s">
        <v>1978</v>
      </c>
      <c r="B640">
        <v>83</v>
      </c>
      <c r="C640" t="s">
        <v>22</v>
      </c>
      <c r="D640" t="s">
        <v>35</v>
      </c>
      <c r="E640" t="s">
        <v>57</v>
      </c>
      <c r="F640" s="1">
        <v>43792</v>
      </c>
      <c r="G640" t="s">
        <v>1979</v>
      </c>
      <c r="H640" t="s">
        <v>1980</v>
      </c>
      <c r="I640" t="s">
        <v>39</v>
      </c>
      <c r="J640">
        <v>36369.089999999997</v>
      </c>
      <c r="K640">
        <v>148</v>
      </c>
      <c r="L640" t="s">
        <v>28</v>
      </c>
      <c r="M640" s="1">
        <v>43795</v>
      </c>
      <c r="N640" t="s">
        <v>52</v>
      </c>
      <c r="O640" t="s">
        <v>30</v>
      </c>
      <c r="P640">
        <v>3</v>
      </c>
      <c r="Q640" t="s">
        <v>53</v>
      </c>
      <c r="R640" t="s">
        <v>44</v>
      </c>
      <c r="S640">
        <v>11</v>
      </c>
      <c r="T640">
        <v>2019</v>
      </c>
      <c r="U640" t="s">
        <v>62</v>
      </c>
    </row>
    <row r="641" spans="1:21" x14ac:dyDescent="0.3">
      <c r="A641" t="s">
        <v>1981</v>
      </c>
      <c r="B641">
        <v>57</v>
      </c>
      <c r="C641" t="s">
        <v>47</v>
      </c>
      <c r="D641" t="s">
        <v>23</v>
      </c>
      <c r="E641" t="s">
        <v>24</v>
      </c>
      <c r="F641" s="1">
        <v>45265</v>
      </c>
      <c r="G641" t="s">
        <v>1982</v>
      </c>
      <c r="H641" t="s">
        <v>1983</v>
      </c>
      <c r="I641" t="s">
        <v>27</v>
      </c>
      <c r="J641">
        <v>3548.05</v>
      </c>
      <c r="K641">
        <v>431</v>
      </c>
      <c r="L641" t="s">
        <v>60</v>
      </c>
      <c r="M641" s="1">
        <v>45291</v>
      </c>
      <c r="N641" t="s">
        <v>99</v>
      </c>
      <c r="O641" t="s">
        <v>61</v>
      </c>
      <c r="P641">
        <v>26</v>
      </c>
      <c r="Q641" t="s">
        <v>43</v>
      </c>
      <c r="R641" t="s">
        <v>100</v>
      </c>
      <c r="S641">
        <v>12</v>
      </c>
      <c r="T641">
        <v>2023</v>
      </c>
      <c r="U641" t="s">
        <v>74</v>
      </c>
    </row>
    <row r="642" spans="1:21" x14ac:dyDescent="0.3">
      <c r="A642" t="s">
        <v>1984</v>
      </c>
      <c r="B642">
        <v>54</v>
      </c>
      <c r="C642" t="s">
        <v>22</v>
      </c>
      <c r="D642" t="s">
        <v>127</v>
      </c>
      <c r="E642" t="s">
        <v>115</v>
      </c>
      <c r="F642" s="1">
        <v>44228</v>
      </c>
      <c r="G642" t="s">
        <v>1985</v>
      </c>
      <c r="H642" t="s">
        <v>1986</v>
      </c>
      <c r="I642" t="s">
        <v>73</v>
      </c>
      <c r="J642">
        <v>10011.290000000001</v>
      </c>
      <c r="K642">
        <v>145</v>
      </c>
      <c r="L642" t="s">
        <v>40</v>
      </c>
      <c r="M642" s="1">
        <v>44234</v>
      </c>
      <c r="N642" t="s">
        <v>99</v>
      </c>
      <c r="O642" t="s">
        <v>42</v>
      </c>
      <c r="P642">
        <v>6</v>
      </c>
      <c r="Q642" t="s">
        <v>68</v>
      </c>
      <c r="R642" t="s">
        <v>32</v>
      </c>
      <c r="S642">
        <v>2</v>
      </c>
      <c r="T642">
        <v>2021</v>
      </c>
      <c r="U642" t="s">
        <v>278</v>
      </c>
    </row>
    <row r="643" spans="1:21" x14ac:dyDescent="0.3">
      <c r="A643" t="s">
        <v>1987</v>
      </c>
      <c r="B643">
        <v>62</v>
      </c>
      <c r="C643" t="s">
        <v>22</v>
      </c>
      <c r="D643" t="s">
        <v>48</v>
      </c>
      <c r="E643" t="s">
        <v>24</v>
      </c>
      <c r="F643" s="1">
        <v>44742</v>
      </c>
      <c r="G643" t="s">
        <v>1988</v>
      </c>
      <c r="H643" t="s">
        <v>1989</v>
      </c>
      <c r="I643" t="s">
        <v>27</v>
      </c>
      <c r="J643">
        <v>14876.33</v>
      </c>
      <c r="K643">
        <v>396</v>
      </c>
      <c r="L643" t="s">
        <v>28</v>
      </c>
      <c r="M643" s="1">
        <v>44743</v>
      </c>
      <c r="N643" t="s">
        <v>99</v>
      </c>
      <c r="O643" t="s">
        <v>42</v>
      </c>
      <c r="P643">
        <v>1</v>
      </c>
      <c r="Q643" t="s">
        <v>43</v>
      </c>
      <c r="R643" t="s">
        <v>32</v>
      </c>
      <c r="S643">
        <v>6</v>
      </c>
      <c r="T643">
        <v>2022</v>
      </c>
      <c r="U643" t="s">
        <v>118</v>
      </c>
    </row>
    <row r="644" spans="1:21" x14ac:dyDescent="0.3">
      <c r="A644" t="s">
        <v>1990</v>
      </c>
      <c r="B644">
        <v>37</v>
      </c>
      <c r="C644" t="s">
        <v>22</v>
      </c>
      <c r="D644" t="s">
        <v>23</v>
      </c>
      <c r="E644" t="s">
        <v>115</v>
      </c>
      <c r="F644" s="1">
        <v>45239</v>
      </c>
      <c r="G644" t="s">
        <v>1991</v>
      </c>
      <c r="H644" t="s">
        <v>1992</v>
      </c>
      <c r="I644" t="s">
        <v>39</v>
      </c>
      <c r="J644">
        <v>30294.65</v>
      </c>
      <c r="K644">
        <v>216</v>
      </c>
      <c r="L644" t="s">
        <v>60</v>
      </c>
      <c r="M644" s="1">
        <v>45259</v>
      </c>
      <c r="N644" t="s">
        <v>67</v>
      </c>
      <c r="O644" t="s">
        <v>30</v>
      </c>
      <c r="P644">
        <v>20</v>
      </c>
      <c r="Q644" t="s">
        <v>68</v>
      </c>
      <c r="R644" t="s">
        <v>44</v>
      </c>
      <c r="S644">
        <v>11</v>
      </c>
      <c r="T644">
        <v>2023</v>
      </c>
      <c r="U644" t="s">
        <v>62</v>
      </c>
    </row>
    <row r="645" spans="1:21" x14ac:dyDescent="0.3">
      <c r="A645" t="s">
        <v>1993</v>
      </c>
      <c r="B645">
        <v>56</v>
      </c>
      <c r="C645" t="s">
        <v>47</v>
      </c>
      <c r="D645" t="s">
        <v>127</v>
      </c>
      <c r="E645" t="s">
        <v>96</v>
      </c>
      <c r="F645" s="1">
        <v>44042</v>
      </c>
      <c r="G645" t="s">
        <v>1994</v>
      </c>
      <c r="H645" t="s">
        <v>1995</v>
      </c>
      <c r="I645" t="s">
        <v>27</v>
      </c>
      <c r="J645">
        <v>45888.7</v>
      </c>
      <c r="K645">
        <v>365</v>
      </c>
      <c r="L645" t="s">
        <v>60</v>
      </c>
      <c r="M645" s="1">
        <v>44053</v>
      </c>
      <c r="N645" t="s">
        <v>29</v>
      </c>
      <c r="O645" t="s">
        <v>61</v>
      </c>
      <c r="P645">
        <v>11</v>
      </c>
      <c r="Q645" t="s">
        <v>43</v>
      </c>
      <c r="R645" t="s">
        <v>44</v>
      </c>
      <c r="S645">
        <v>7</v>
      </c>
      <c r="T645">
        <v>2020</v>
      </c>
      <c r="U645" t="s">
        <v>86</v>
      </c>
    </row>
    <row r="646" spans="1:21" x14ac:dyDescent="0.3">
      <c r="A646" t="s">
        <v>1996</v>
      </c>
      <c r="B646">
        <v>68</v>
      </c>
      <c r="C646" t="s">
        <v>47</v>
      </c>
      <c r="D646" t="s">
        <v>56</v>
      </c>
      <c r="E646" t="s">
        <v>115</v>
      </c>
      <c r="F646" s="1">
        <v>44661</v>
      </c>
      <c r="G646" t="s">
        <v>1997</v>
      </c>
      <c r="H646" t="s">
        <v>1998</v>
      </c>
      <c r="I646" t="s">
        <v>73</v>
      </c>
      <c r="J646">
        <v>31958.400000000001</v>
      </c>
      <c r="K646">
        <v>203</v>
      </c>
      <c r="L646" t="s">
        <v>60</v>
      </c>
      <c r="M646" s="1">
        <v>44670</v>
      </c>
      <c r="N646" t="s">
        <v>99</v>
      </c>
      <c r="O646" t="s">
        <v>30</v>
      </c>
      <c r="P646">
        <v>9</v>
      </c>
      <c r="Q646" t="s">
        <v>43</v>
      </c>
      <c r="R646" t="s">
        <v>44</v>
      </c>
      <c r="S646">
        <v>4</v>
      </c>
      <c r="T646">
        <v>2022</v>
      </c>
      <c r="U646" t="s">
        <v>94</v>
      </c>
    </row>
    <row r="647" spans="1:21" x14ac:dyDescent="0.3">
      <c r="A647" t="s">
        <v>1999</v>
      </c>
      <c r="B647">
        <v>46</v>
      </c>
      <c r="C647" t="s">
        <v>22</v>
      </c>
      <c r="D647" t="s">
        <v>48</v>
      </c>
      <c r="E647" t="s">
        <v>36</v>
      </c>
      <c r="F647" s="1">
        <v>43832</v>
      </c>
      <c r="G647" t="s">
        <v>2000</v>
      </c>
      <c r="H647" t="s">
        <v>2001</v>
      </c>
      <c r="I647" t="s">
        <v>39</v>
      </c>
      <c r="J647">
        <v>22645.79</v>
      </c>
      <c r="K647">
        <v>169</v>
      </c>
      <c r="L647" t="s">
        <v>28</v>
      </c>
      <c r="M647" s="1">
        <v>43846</v>
      </c>
      <c r="N647" t="s">
        <v>29</v>
      </c>
      <c r="O647" t="s">
        <v>30</v>
      </c>
      <c r="P647">
        <v>14</v>
      </c>
      <c r="Q647" t="s">
        <v>68</v>
      </c>
      <c r="R647" t="s">
        <v>32</v>
      </c>
      <c r="S647">
        <v>1</v>
      </c>
      <c r="T647">
        <v>2020</v>
      </c>
      <c r="U647" t="s">
        <v>33</v>
      </c>
    </row>
    <row r="648" spans="1:21" x14ac:dyDescent="0.3">
      <c r="A648" t="s">
        <v>2002</v>
      </c>
      <c r="B648">
        <v>62</v>
      </c>
      <c r="C648" t="s">
        <v>22</v>
      </c>
      <c r="D648" t="s">
        <v>23</v>
      </c>
      <c r="E648" t="s">
        <v>96</v>
      </c>
      <c r="F648" s="1">
        <v>45240</v>
      </c>
      <c r="G648" t="s">
        <v>2003</v>
      </c>
      <c r="H648" t="s">
        <v>2004</v>
      </c>
      <c r="I648" t="s">
        <v>39</v>
      </c>
      <c r="J648">
        <v>21297.41</v>
      </c>
      <c r="K648">
        <v>362</v>
      </c>
      <c r="L648" t="s">
        <v>40</v>
      </c>
      <c r="M648" s="1">
        <v>45261</v>
      </c>
      <c r="N648" t="s">
        <v>29</v>
      </c>
      <c r="O648" t="s">
        <v>61</v>
      </c>
      <c r="P648">
        <v>21</v>
      </c>
      <c r="Q648" t="s">
        <v>43</v>
      </c>
      <c r="R648" t="s">
        <v>32</v>
      </c>
      <c r="S648">
        <v>11</v>
      </c>
      <c r="T648">
        <v>2023</v>
      </c>
      <c r="U648" t="s">
        <v>62</v>
      </c>
    </row>
    <row r="649" spans="1:21" x14ac:dyDescent="0.3">
      <c r="A649" t="s">
        <v>2005</v>
      </c>
      <c r="B649">
        <v>49</v>
      </c>
      <c r="C649" t="s">
        <v>47</v>
      </c>
      <c r="D649" t="s">
        <v>76</v>
      </c>
      <c r="E649" t="s">
        <v>57</v>
      </c>
      <c r="F649" s="1">
        <v>44241</v>
      </c>
      <c r="G649" t="s">
        <v>2006</v>
      </c>
      <c r="H649" t="s">
        <v>2007</v>
      </c>
      <c r="I649" t="s">
        <v>82</v>
      </c>
      <c r="J649">
        <v>26432.16</v>
      </c>
      <c r="K649">
        <v>402</v>
      </c>
      <c r="L649" t="s">
        <v>28</v>
      </c>
      <c r="M649" s="1">
        <v>44245</v>
      </c>
      <c r="N649" t="s">
        <v>52</v>
      </c>
      <c r="O649" t="s">
        <v>42</v>
      </c>
      <c r="P649">
        <v>4</v>
      </c>
      <c r="Q649" t="s">
        <v>68</v>
      </c>
      <c r="R649" t="s">
        <v>32</v>
      </c>
      <c r="S649">
        <v>2</v>
      </c>
      <c r="T649">
        <v>2021</v>
      </c>
      <c r="U649" t="s">
        <v>278</v>
      </c>
    </row>
    <row r="650" spans="1:21" x14ac:dyDescent="0.3">
      <c r="A650" t="s">
        <v>2008</v>
      </c>
      <c r="B650">
        <v>75</v>
      </c>
      <c r="C650" t="s">
        <v>22</v>
      </c>
      <c r="D650" t="s">
        <v>23</v>
      </c>
      <c r="E650" t="s">
        <v>96</v>
      </c>
      <c r="F650" s="1">
        <v>44758</v>
      </c>
      <c r="G650" t="s">
        <v>2009</v>
      </c>
      <c r="H650" t="s">
        <v>2010</v>
      </c>
      <c r="I650" t="s">
        <v>82</v>
      </c>
      <c r="J650">
        <v>6336.71</v>
      </c>
      <c r="K650">
        <v>428</v>
      </c>
      <c r="L650" t="s">
        <v>40</v>
      </c>
      <c r="M650" s="1">
        <v>44786</v>
      </c>
      <c r="N650" t="s">
        <v>41</v>
      </c>
      <c r="O650" t="s">
        <v>30</v>
      </c>
      <c r="P650">
        <v>28</v>
      </c>
      <c r="Q650" t="s">
        <v>53</v>
      </c>
      <c r="R650" t="s">
        <v>100</v>
      </c>
      <c r="S650">
        <v>7</v>
      </c>
      <c r="T650">
        <v>2022</v>
      </c>
      <c r="U650" t="s">
        <v>86</v>
      </c>
    </row>
    <row r="651" spans="1:21" x14ac:dyDescent="0.3">
      <c r="A651" t="s">
        <v>2011</v>
      </c>
      <c r="B651">
        <v>40</v>
      </c>
      <c r="C651" t="s">
        <v>47</v>
      </c>
      <c r="D651" t="s">
        <v>56</v>
      </c>
      <c r="E651" t="s">
        <v>57</v>
      </c>
      <c r="F651" s="1">
        <v>45061</v>
      </c>
      <c r="G651" t="s">
        <v>2012</v>
      </c>
      <c r="H651" t="s">
        <v>2013</v>
      </c>
      <c r="I651" t="s">
        <v>39</v>
      </c>
      <c r="J651">
        <v>31063.56</v>
      </c>
      <c r="K651">
        <v>345</v>
      </c>
      <c r="L651" t="s">
        <v>60</v>
      </c>
      <c r="M651" s="1">
        <v>45073</v>
      </c>
      <c r="N651" t="s">
        <v>67</v>
      </c>
      <c r="O651" t="s">
        <v>30</v>
      </c>
      <c r="P651">
        <v>12</v>
      </c>
      <c r="Q651" t="s">
        <v>68</v>
      </c>
      <c r="R651" t="s">
        <v>44</v>
      </c>
      <c r="S651">
        <v>5</v>
      </c>
      <c r="T651">
        <v>2023</v>
      </c>
      <c r="U651" t="s">
        <v>90</v>
      </c>
    </row>
    <row r="652" spans="1:21" x14ac:dyDescent="0.3">
      <c r="A652" t="s">
        <v>2014</v>
      </c>
      <c r="B652">
        <v>51</v>
      </c>
      <c r="C652" t="s">
        <v>47</v>
      </c>
      <c r="D652" t="s">
        <v>64</v>
      </c>
      <c r="E652" t="s">
        <v>115</v>
      </c>
      <c r="F652" s="1">
        <v>43951</v>
      </c>
      <c r="G652" t="s">
        <v>2015</v>
      </c>
      <c r="H652" t="s">
        <v>2016</v>
      </c>
      <c r="I652" t="s">
        <v>73</v>
      </c>
      <c r="J652">
        <v>10710.33</v>
      </c>
      <c r="K652">
        <v>461</v>
      </c>
      <c r="L652" t="s">
        <v>28</v>
      </c>
      <c r="M652" s="1">
        <v>43973</v>
      </c>
      <c r="N652" t="s">
        <v>67</v>
      </c>
      <c r="O652" t="s">
        <v>61</v>
      </c>
      <c r="P652">
        <v>22</v>
      </c>
      <c r="Q652" t="s">
        <v>68</v>
      </c>
      <c r="R652" t="s">
        <v>32</v>
      </c>
      <c r="S652">
        <v>4</v>
      </c>
      <c r="T652">
        <v>2020</v>
      </c>
      <c r="U652" t="s">
        <v>94</v>
      </c>
    </row>
    <row r="653" spans="1:21" x14ac:dyDescent="0.3">
      <c r="A653" t="s">
        <v>2017</v>
      </c>
      <c r="B653">
        <v>64</v>
      </c>
      <c r="C653" t="s">
        <v>22</v>
      </c>
      <c r="D653" t="s">
        <v>64</v>
      </c>
      <c r="E653" t="s">
        <v>70</v>
      </c>
      <c r="F653" s="1">
        <v>44208</v>
      </c>
      <c r="G653" t="s">
        <v>2018</v>
      </c>
      <c r="H653" t="s">
        <v>2019</v>
      </c>
      <c r="I653" t="s">
        <v>27</v>
      </c>
      <c r="J653">
        <v>25066.52</v>
      </c>
      <c r="K653">
        <v>454</v>
      </c>
      <c r="L653" t="s">
        <v>28</v>
      </c>
      <c r="M653" s="1">
        <v>44221</v>
      </c>
      <c r="N653" t="s">
        <v>41</v>
      </c>
      <c r="O653" t="s">
        <v>61</v>
      </c>
      <c r="P653">
        <v>13</v>
      </c>
      <c r="Q653" t="s">
        <v>43</v>
      </c>
      <c r="R653" t="s">
        <v>32</v>
      </c>
      <c r="S653">
        <v>1</v>
      </c>
      <c r="T653">
        <v>2021</v>
      </c>
      <c r="U653" t="s">
        <v>33</v>
      </c>
    </row>
    <row r="654" spans="1:21" x14ac:dyDescent="0.3">
      <c r="A654" t="s">
        <v>2020</v>
      </c>
      <c r="B654">
        <v>49</v>
      </c>
      <c r="C654" t="s">
        <v>47</v>
      </c>
      <c r="D654" t="s">
        <v>149</v>
      </c>
      <c r="E654" t="s">
        <v>115</v>
      </c>
      <c r="F654" s="1">
        <v>43608</v>
      </c>
      <c r="G654" t="s">
        <v>2021</v>
      </c>
      <c r="H654" t="s">
        <v>2022</v>
      </c>
      <c r="I654" t="s">
        <v>82</v>
      </c>
      <c r="J654">
        <v>13396.9</v>
      </c>
      <c r="K654">
        <v>273</v>
      </c>
      <c r="L654" t="s">
        <v>40</v>
      </c>
      <c r="M654" s="1">
        <v>43618</v>
      </c>
      <c r="N654" t="s">
        <v>29</v>
      </c>
      <c r="O654" t="s">
        <v>30</v>
      </c>
      <c r="P654">
        <v>10</v>
      </c>
      <c r="Q654" t="s">
        <v>68</v>
      </c>
      <c r="R654" t="s">
        <v>32</v>
      </c>
      <c r="S654">
        <v>5</v>
      </c>
      <c r="T654">
        <v>2019</v>
      </c>
      <c r="U654" t="s">
        <v>90</v>
      </c>
    </row>
    <row r="655" spans="1:21" x14ac:dyDescent="0.3">
      <c r="A655" t="s">
        <v>2023</v>
      </c>
      <c r="B655">
        <v>74</v>
      </c>
      <c r="C655" t="s">
        <v>22</v>
      </c>
      <c r="D655" t="s">
        <v>35</v>
      </c>
      <c r="E655" t="s">
        <v>36</v>
      </c>
      <c r="F655" s="1">
        <v>45039</v>
      </c>
      <c r="G655" t="s">
        <v>2024</v>
      </c>
      <c r="H655" t="s">
        <v>2025</v>
      </c>
      <c r="I655" t="s">
        <v>27</v>
      </c>
      <c r="J655">
        <v>29822.1</v>
      </c>
      <c r="K655">
        <v>231</v>
      </c>
      <c r="L655" t="s">
        <v>40</v>
      </c>
      <c r="M655" s="1">
        <v>45055</v>
      </c>
      <c r="N655" t="s">
        <v>99</v>
      </c>
      <c r="O655" t="s">
        <v>30</v>
      </c>
      <c r="P655">
        <v>16</v>
      </c>
      <c r="Q655" t="s">
        <v>53</v>
      </c>
      <c r="R655" t="s">
        <v>32</v>
      </c>
      <c r="S655">
        <v>4</v>
      </c>
      <c r="T655">
        <v>2023</v>
      </c>
      <c r="U655" t="s">
        <v>94</v>
      </c>
    </row>
    <row r="656" spans="1:21" x14ac:dyDescent="0.3">
      <c r="A656" t="s">
        <v>2026</v>
      </c>
      <c r="B656">
        <v>66</v>
      </c>
      <c r="C656" t="s">
        <v>47</v>
      </c>
      <c r="D656" t="s">
        <v>48</v>
      </c>
      <c r="E656" t="s">
        <v>96</v>
      </c>
      <c r="F656" s="1">
        <v>44902</v>
      </c>
      <c r="G656" t="s">
        <v>2027</v>
      </c>
      <c r="H656" t="s">
        <v>2028</v>
      </c>
      <c r="I656" t="s">
        <v>39</v>
      </c>
      <c r="J656">
        <v>12025.35</v>
      </c>
      <c r="K656">
        <v>434</v>
      </c>
      <c r="L656" t="s">
        <v>28</v>
      </c>
      <c r="M656" s="1">
        <v>44927</v>
      </c>
      <c r="N656" t="s">
        <v>52</v>
      </c>
      <c r="O656" t="s">
        <v>61</v>
      </c>
      <c r="P656">
        <v>25</v>
      </c>
      <c r="Q656" t="s">
        <v>43</v>
      </c>
      <c r="R656" t="s">
        <v>32</v>
      </c>
      <c r="S656">
        <v>12</v>
      </c>
      <c r="T656">
        <v>2022</v>
      </c>
      <c r="U656" t="s">
        <v>74</v>
      </c>
    </row>
    <row r="657" spans="1:21" x14ac:dyDescent="0.3">
      <c r="A657" t="s">
        <v>2029</v>
      </c>
      <c r="B657">
        <v>52</v>
      </c>
      <c r="C657" t="s">
        <v>47</v>
      </c>
      <c r="D657" t="s">
        <v>48</v>
      </c>
      <c r="E657" t="s">
        <v>115</v>
      </c>
      <c r="F657" s="1">
        <v>44129</v>
      </c>
      <c r="G657" t="s">
        <v>2030</v>
      </c>
      <c r="H657" t="s">
        <v>2031</v>
      </c>
      <c r="I657" t="s">
        <v>51</v>
      </c>
      <c r="J657">
        <v>33708.86</v>
      </c>
      <c r="K657">
        <v>191</v>
      </c>
      <c r="L657" t="s">
        <v>60</v>
      </c>
      <c r="M657" s="1">
        <v>44139</v>
      </c>
      <c r="N657" t="s">
        <v>99</v>
      </c>
      <c r="O657" t="s">
        <v>61</v>
      </c>
      <c r="P657">
        <v>10</v>
      </c>
      <c r="Q657" t="s">
        <v>68</v>
      </c>
      <c r="R657" t="s">
        <v>44</v>
      </c>
      <c r="S657">
        <v>10</v>
      </c>
      <c r="T657">
        <v>2020</v>
      </c>
      <c r="U657" t="s">
        <v>110</v>
      </c>
    </row>
    <row r="658" spans="1:21" x14ac:dyDescent="0.3">
      <c r="A658" t="s">
        <v>2032</v>
      </c>
      <c r="B658">
        <v>58</v>
      </c>
      <c r="C658" t="s">
        <v>47</v>
      </c>
      <c r="D658" t="s">
        <v>23</v>
      </c>
      <c r="E658" t="s">
        <v>36</v>
      </c>
      <c r="F658" s="1">
        <v>44294</v>
      </c>
      <c r="G658" t="s">
        <v>2033</v>
      </c>
      <c r="H658" t="s">
        <v>2034</v>
      </c>
      <c r="I658" t="s">
        <v>82</v>
      </c>
      <c r="J658">
        <v>40825.08</v>
      </c>
      <c r="K658">
        <v>231</v>
      </c>
      <c r="L658" t="s">
        <v>60</v>
      </c>
      <c r="M658" s="1">
        <v>44317</v>
      </c>
      <c r="N658" t="s">
        <v>41</v>
      </c>
      <c r="O658" t="s">
        <v>30</v>
      </c>
      <c r="P658">
        <v>23</v>
      </c>
      <c r="Q658" t="s">
        <v>43</v>
      </c>
      <c r="R658" t="s">
        <v>44</v>
      </c>
      <c r="S658">
        <v>4</v>
      </c>
      <c r="T658">
        <v>2021</v>
      </c>
      <c r="U658" t="s">
        <v>94</v>
      </c>
    </row>
    <row r="659" spans="1:21" x14ac:dyDescent="0.3">
      <c r="A659" t="s">
        <v>2035</v>
      </c>
      <c r="B659">
        <v>21</v>
      </c>
      <c r="C659" t="s">
        <v>22</v>
      </c>
      <c r="D659" t="s">
        <v>23</v>
      </c>
      <c r="E659" t="s">
        <v>115</v>
      </c>
      <c r="F659" s="1">
        <v>44083</v>
      </c>
      <c r="G659" t="s">
        <v>2036</v>
      </c>
      <c r="H659" t="s">
        <v>2037</v>
      </c>
      <c r="I659" t="s">
        <v>51</v>
      </c>
      <c r="J659">
        <v>27345.46</v>
      </c>
      <c r="K659">
        <v>371</v>
      </c>
      <c r="L659" t="s">
        <v>40</v>
      </c>
      <c r="M659" s="1">
        <v>44108</v>
      </c>
      <c r="N659" t="s">
        <v>52</v>
      </c>
      <c r="O659" t="s">
        <v>42</v>
      </c>
      <c r="P659">
        <v>25</v>
      </c>
      <c r="Q659" t="s">
        <v>31</v>
      </c>
      <c r="R659" t="s">
        <v>32</v>
      </c>
      <c r="S659">
        <v>9</v>
      </c>
      <c r="T659">
        <v>2020</v>
      </c>
      <c r="U659" t="s">
        <v>54</v>
      </c>
    </row>
    <row r="660" spans="1:21" x14ac:dyDescent="0.3">
      <c r="A660" t="s">
        <v>2038</v>
      </c>
      <c r="B660">
        <v>69</v>
      </c>
      <c r="C660" t="s">
        <v>22</v>
      </c>
      <c r="D660" t="s">
        <v>64</v>
      </c>
      <c r="E660" t="s">
        <v>115</v>
      </c>
      <c r="F660" s="1">
        <v>43805</v>
      </c>
      <c r="G660" t="s">
        <v>2039</v>
      </c>
      <c r="H660" t="s">
        <v>2040</v>
      </c>
      <c r="I660" t="s">
        <v>51</v>
      </c>
      <c r="J660">
        <v>38751.800000000003</v>
      </c>
      <c r="K660">
        <v>439</v>
      </c>
      <c r="L660" t="s">
        <v>40</v>
      </c>
      <c r="M660" s="1">
        <v>43807</v>
      </c>
      <c r="N660" t="s">
        <v>41</v>
      </c>
      <c r="O660" t="s">
        <v>42</v>
      </c>
      <c r="P660">
        <v>2</v>
      </c>
      <c r="Q660" t="s">
        <v>43</v>
      </c>
      <c r="R660" t="s">
        <v>44</v>
      </c>
      <c r="S660">
        <v>12</v>
      </c>
      <c r="T660">
        <v>2019</v>
      </c>
      <c r="U660" t="s">
        <v>74</v>
      </c>
    </row>
    <row r="661" spans="1:21" x14ac:dyDescent="0.3">
      <c r="A661" t="s">
        <v>2041</v>
      </c>
      <c r="B661">
        <v>47</v>
      </c>
      <c r="C661" t="s">
        <v>47</v>
      </c>
      <c r="D661" t="s">
        <v>76</v>
      </c>
      <c r="E661" t="s">
        <v>70</v>
      </c>
      <c r="F661" s="1">
        <v>44973</v>
      </c>
      <c r="G661" t="s">
        <v>2042</v>
      </c>
      <c r="H661" t="s">
        <v>2043</v>
      </c>
      <c r="I661" t="s">
        <v>51</v>
      </c>
      <c r="J661">
        <v>6252.08</v>
      </c>
      <c r="K661">
        <v>365</v>
      </c>
      <c r="L661" t="s">
        <v>60</v>
      </c>
      <c r="M661" s="1">
        <v>44991</v>
      </c>
      <c r="N661" t="s">
        <v>67</v>
      </c>
      <c r="O661" t="s">
        <v>42</v>
      </c>
      <c r="P661">
        <v>18</v>
      </c>
      <c r="Q661" t="s">
        <v>68</v>
      </c>
      <c r="R661" t="s">
        <v>100</v>
      </c>
      <c r="S661">
        <v>2</v>
      </c>
      <c r="T661">
        <v>2023</v>
      </c>
      <c r="U661" t="s">
        <v>278</v>
      </c>
    </row>
    <row r="662" spans="1:21" x14ac:dyDescent="0.3">
      <c r="A662" t="s">
        <v>2044</v>
      </c>
      <c r="B662">
        <v>51</v>
      </c>
      <c r="C662" t="s">
        <v>47</v>
      </c>
      <c r="D662" t="s">
        <v>149</v>
      </c>
      <c r="E662" t="s">
        <v>96</v>
      </c>
      <c r="F662" s="1">
        <v>45181</v>
      </c>
      <c r="G662" t="s">
        <v>2045</v>
      </c>
      <c r="H662" t="s">
        <v>2046</v>
      </c>
      <c r="I662" t="s">
        <v>73</v>
      </c>
      <c r="J662">
        <v>18714.34</v>
      </c>
      <c r="K662">
        <v>270</v>
      </c>
      <c r="L662" t="s">
        <v>40</v>
      </c>
      <c r="M662" s="1">
        <v>45211</v>
      </c>
      <c r="N662" t="s">
        <v>67</v>
      </c>
      <c r="O662" t="s">
        <v>61</v>
      </c>
      <c r="P662">
        <v>30</v>
      </c>
      <c r="Q662" t="s">
        <v>68</v>
      </c>
      <c r="R662" t="s">
        <v>32</v>
      </c>
      <c r="S662">
        <v>9</v>
      </c>
      <c r="T662">
        <v>2023</v>
      </c>
      <c r="U662" t="s">
        <v>54</v>
      </c>
    </row>
    <row r="663" spans="1:21" x14ac:dyDescent="0.3">
      <c r="A663" t="s">
        <v>2047</v>
      </c>
      <c r="B663">
        <v>20</v>
      </c>
      <c r="C663" t="s">
        <v>47</v>
      </c>
      <c r="D663" t="s">
        <v>35</v>
      </c>
      <c r="E663" t="s">
        <v>24</v>
      </c>
      <c r="F663" s="1">
        <v>43790</v>
      </c>
      <c r="G663" t="s">
        <v>2048</v>
      </c>
      <c r="H663" t="s">
        <v>2049</v>
      </c>
      <c r="I663" t="s">
        <v>27</v>
      </c>
      <c r="J663">
        <v>14291.7</v>
      </c>
      <c r="K663">
        <v>436</v>
      </c>
      <c r="L663" t="s">
        <v>60</v>
      </c>
      <c r="M663" s="1">
        <v>43810</v>
      </c>
      <c r="N663" t="s">
        <v>41</v>
      </c>
      <c r="O663" t="s">
        <v>42</v>
      </c>
      <c r="P663">
        <v>20</v>
      </c>
      <c r="Q663" t="s">
        <v>31</v>
      </c>
      <c r="R663" t="s">
        <v>32</v>
      </c>
      <c r="S663">
        <v>11</v>
      </c>
      <c r="T663">
        <v>2019</v>
      </c>
      <c r="U663" t="s">
        <v>62</v>
      </c>
    </row>
    <row r="664" spans="1:21" x14ac:dyDescent="0.3">
      <c r="A664" t="s">
        <v>2050</v>
      </c>
      <c r="B664">
        <v>38</v>
      </c>
      <c r="C664" t="s">
        <v>47</v>
      </c>
      <c r="D664" t="s">
        <v>23</v>
      </c>
      <c r="E664" t="s">
        <v>96</v>
      </c>
      <c r="F664" s="1">
        <v>43660</v>
      </c>
      <c r="G664" t="s">
        <v>2051</v>
      </c>
      <c r="H664" t="s">
        <v>2052</v>
      </c>
      <c r="I664" t="s">
        <v>27</v>
      </c>
      <c r="J664">
        <v>38210.959999999999</v>
      </c>
      <c r="K664">
        <v>413</v>
      </c>
      <c r="L664" t="s">
        <v>60</v>
      </c>
      <c r="M664" s="1">
        <v>43665</v>
      </c>
      <c r="N664" t="s">
        <v>99</v>
      </c>
      <c r="O664" t="s">
        <v>42</v>
      </c>
      <c r="P664">
        <v>5</v>
      </c>
      <c r="Q664" t="s">
        <v>68</v>
      </c>
      <c r="R664" t="s">
        <v>44</v>
      </c>
      <c r="S664">
        <v>7</v>
      </c>
      <c r="T664">
        <v>2019</v>
      </c>
      <c r="U664" t="s">
        <v>86</v>
      </c>
    </row>
    <row r="665" spans="1:21" x14ac:dyDescent="0.3">
      <c r="A665" t="s">
        <v>2053</v>
      </c>
      <c r="B665">
        <v>70</v>
      </c>
      <c r="C665" t="s">
        <v>47</v>
      </c>
      <c r="D665" t="s">
        <v>64</v>
      </c>
      <c r="E665" t="s">
        <v>36</v>
      </c>
      <c r="F665" s="1">
        <v>43741</v>
      </c>
      <c r="G665" t="s">
        <v>2054</v>
      </c>
      <c r="H665" t="s">
        <v>2055</v>
      </c>
      <c r="I665" t="s">
        <v>51</v>
      </c>
      <c r="J665">
        <v>7074.79</v>
      </c>
      <c r="K665">
        <v>339</v>
      </c>
      <c r="L665" t="s">
        <v>40</v>
      </c>
      <c r="M665" s="1">
        <v>43771</v>
      </c>
      <c r="N665" t="s">
        <v>29</v>
      </c>
      <c r="O665" t="s">
        <v>42</v>
      </c>
      <c r="P665">
        <v>30</v>
      </c>
      <c r="Q665" t="s">
        <v>43</v>
      </c>
      <c r="R665" t="s">
        <v>100</v>
      </c>
      <c r="S665">
        <v>10</v>
      </c>
      <c r="T665">
        <v>2019</v>
      </c>
      <c r="U665" t="s">
        <v>110</v>
      </c>
    </row>
    <row r="666" spans="1:21" x14ac:dyDescent="0.3">
      <c r="A666" t="s">
        <v>2056</v>
      </c>
      <c r="B666">
        <v>73</v>
      </c>
      <c r="C666" t="s">
        <v>22</v>
      </c>
      <c r="D666" t="s">
        <v>149</v>
      </c>
      <c r="E666" t="s">
        <v>115</v>
      </c>
      <c r="F666" s="1">
        <v>43650</v>
      </c>
      <c r="G666" t="s">
        <v>2057</v>
      </c>
      <c r="H666" t="s">
        <v>2058</v>
      </c>
      <c r="I666" t="s">
        <v>73</v>
      </c>
      <c r="J666">
        <v>35419.51</v>
      </c>
      <c r="K666">
        <v>500</v>
      </c>
      <c r="L666" t="s">
        <v>60</v>
      </c>
      <c r="M666" s="1">
        <v>43652</v>
      </c>
      <c r="N666" t="s">
        <v>67</v>
      </c>
      <c r="O666" t="s">
        <v>61</v>
      </c>
      <c r="P666">
        <v>2</v>
      </c>
      <c r="Q666" t="s">
        <v>53</v>
      </c>
      <c r="R666" t="s">
        <v>44</v>
      </c>
      <c r="S666">
        <v>7</v>
      </c>
      <c r="T666">
        <v>2019</v>
      </c>
      <c r="U666" t="s">
        <v>86</v>
      </c>
    </row>
    <row r="667" spans="1:21" x14ac:dyDescent="0.3">
      <c r="A667" t="s">
        <v>2059</v>
      </c>
      <c r="B667">
        <v>44</v>
      </c>
      <c r="C667" t="s">
        <v>22</v>
      </c>
      <c r="D667" t="s">
        <v>64</v>
      </c>
      <c r="E667" t="s">
        <v>96</v>
      </c>
      <c r="F667" s="1">
        <v>43611</v>
      </c>
      <c r="G667" t="s">
        <v>2060</v>
      </c>
      <c r="H667" t="s">
        <v>2061</v>
      </c>
      <c r="I667" t="s">
        <v>39</v>
      </c>
      <c r="J667">
        <v>3852.95</v>
      </c>
      <c r="K667">
        <v>328</v>
      </c>
      <c r="L667" t="s">
        <v>40</v>
      </c>
      <c r="M667" s="1">
        <v>43624</v>
      </c>
      <c r="N667" t="s">
        <v>29</v>
      </c>
      <c r="O667" t="s">
        <v>61</v>
      </c>
      <c r="P667">
        <v>13</v>
      </c>
      <c r="Q667" t="s">
        <v>68</v>
      </c>
      <c r="R667" t="s">
        <v>100</v>
      </c>
      <c r="S667">
        <v>5</v>
      </c>
      <c r="T667">
        <v>2019</v>
      </c>
      <c r="U667" t="s">
        <v>90</v>
      </c>
    </row>
    <row r="668" spans="1:21" x14ac:dyDescent="0.3">
      <c r="A668" t="s">
        <v>2062</v>
      </c>
      <c r="B668">
        <v>44</v>
      </c>
      <c r="C668" t="s">
        <v>47</v>
      </c>
      <c r="D668" t="s">
        <v>35</v>
      </c>
      <c r="E668" t="s">
        <v>36</v>
      </c>
      <c r="F668" s="1">
        <v>44542</v>
      </c>
      <c r="G668" t="s">
        <v>2063</v>
      </c>
      <c r="H668" t="s">
        <v>2064</v>
      </c>
      <c r="I668" t="s">
        <v>82</v>
      </c>
      <c r="J668">
        <v>48747.55</v>
      </c>
      <c r="K668">
        <v>321</v>
      </c>
      <c r="L668" t="s">
        <v>60</v>
      </c>
      <c r="M668" s="1">
        <v>44548</v>
      </c>
      <c r="N668" t="s">
        <v>29</v>
      </c>
      <c r="O668" t="s">
        <v>30</v>
      </c>
      <c r="P668">
        <v>6</v>
      </c>
      <c r="Q668" t="s">
        <v>68</v>
      </c>
      <c r="R668" t="s">
        <v>44</v>
      </c>
      <c r="S668">
        <v>12</v>
      </c>
      <c r="T668">
        <v>2021</v>
      </c>
      <c r="U668" t="s">
        <v>74</v>
      </c>
    </row>
    <row r="669" spans="1:21" x14ac:dyDescent="0.3">
      <c r="A669" t="s">
        <v>2065</v>
      </c>
      <c r="B669">
        <v>54</v>
      </c>
      <c r="C669" t="s">
        <v>22</v>
      </c>
      <c r="D669" t="s">
        <v>76</v>
      </c>
      <c r="E669" t="s">
        <v>96</v>
      </c>
      <c r="F669" s="1">
        <v>44338</v>
      </c>
      <c r="G669" t="s">
        <v>2066</v>
      </c>
      <c r="H669" t="s">
        <v>2067</v>
      </c>
      <c r="I669" t="s">
        <v>51</v>
      </c>
      <c r="J669">
        <v>40577.599999999999</v>
      </c>
      <c r="K669">
        <v>101</v>
      </c>
      <c r="L669" t="s">
        <v>28</v>
      </c>
      <c r="M669" s="1">
        <v>44348</v>
      </c>
      <c r="N669" t="s">
        <v>67</v>
      </c>
      <c r="O669" t="s">
        <v>61</v>
      </c>
      <c r="P669">
        <v>10</v>
      </c>
      <c r="Q669" t="s">
        <v>68</v>
      </c>
      <c r="R669" t="s">
        <v>44</v>
      </c>
      <c r="S669">
        <v>5</v>
      </c>
      <c r="T669">
        <v>2021</v>
      </c>
      <c r="U669" t="s">
        <v>90</v>
      </c>
    </row>
    <row r="670" spans="1:21" x14ac:dyDescent="0.3">
      <c r="A670" t="s">
        <v>2068</v>
      </c>
      <c r="B670">
        <v>45</v>
      </c>
      <c r="C670" t="s">
        <v>22</v>
      </c>
      <c r="D670" t="s">
        <v>76</v>
      </c>
      <c r="E670" t="s">
        <v>57</v>
      </c>
      <c r="F670" s="1">
        <v>44077</v>
      </c>
      <c r="G670" t="s">
        <v>2069</v>
      </c>
      <c r="H670" t="s">
        <v>2070</v>
      </c>
      <c r="I670" t="s">
        <v>73</v>
      </c>
      <c r="J670">
        <v>16648.55</v>
      </c>
      <c r="K670">
        <v>424</v>
      </c>
      <c r="L670" t="s">
        <v>40</v>
      </c>
      <c r="M670" s="1">
        <v>44089</v>
      </c>
      <c r="N670" t="s">
        <v>52</v>
      </c>
      <c r="O670" t="s">
        <v>30</v>
      </c>
      <c r="P670">
        <v>12</v>
      </c>
      <c r="Q670" t="s">
        <v>68</v>
      </c>
      <c r="R670" t="s">
        <v>32</v>
      </c>
      <c r="S670">
        <v>9</v>
      </c>
      <c r="T670">
        <v>2020</v>
      </c>
      <c r="U670" t="s">
        <v>54</v>
      </c>
    </row>
    <row r="671" spans="1:21" x14ac:dyDescent="0.3">
      <c r="A671" t="s">
        <v>2071</v>
      </c>
      <c r="B671">
        <v>18</v>
      </c>
      <c r="C671" t="s">
        <v>47</v>
      </c>
      <c r="D671" t="s">
        <v>23</v>
      </c>
      <c r="E671" t="s">
        <v>115</v>
      </c>
      <c r="F671" s="1">
        <v>44650</v>
      </c>
      <c r="G671" t="s">
        <v>2072</v>
      </c>
      <c r="H671" t="s">
        <v>2073</v>
      </c>
      <c r="I671" t="s">
        <v>73</v>
      </c>
      <c r="J671">
        <v>38588.97</v>
      </c>
      <c r="K671">
        <v>449</v>
      </c>
      <c r="L671" t="s">
        <v>28</v>
      </c>
      <c r="M671" s="1">
        <v>44664</v>
      </c>
      <c r="N671" t="s">
        <v>67</v>
      </c>
      <c r="O671" t="s">
        <v>61</v>
      </c>
      <c r="P671">
        <v>14</v>
      </c>
      <c r="Q671" t="s">
        <v>31</v>
      </c>
      <c r="R671" t="s">
        <v>44</v>
      </c>
      <c r="S671">
        <v>3</v>
      </c>
      <c r="T671">
        <v>2022</v>
      </c>
      <c r="U671" t="s">
        <v>122</v>
      </c>
    </row>
    <row r="672" spans="1:21" x14ac:dyDescent="0.3">
      <c r="A672" t="s">
        <v>2074</v>
      </c>
      <c r="B672">
        <v>44</v>
      </c>
      <c r="C672" t="s">
        <v>22</v>
      </c>
      <c r="D672" t="s">
        <v>127</v>
      </c>
      <c r="E672" t="s">
        <v>96</v>
      </c>
      <c r="F672" s="1">
        <v>43819</v>
      </c>
      <c r="G672" t="s">
        <v>2075</v>
      </c>
      <c r="H672" t="s">
        <v>2076</v>
      </c>
      <c r="I672" t="s">
        <v>82</v>
      </c>
      <c r="J672">
        <v>32990.19</v>
      </c>
      <c r="K672">
        <v>486</v>
      </c>
      <c r="L672" t="s">
        <v>60</v>
      </c>
      <c r="M672" s="1">
        <v>43848</v>
      </c>
      <c r="N672" t="s">
        <v>41</v>
      </c>
      <c r="O672" t="s">
        <v>30</v>
      </c>
      <c r="P672">
        <v>29</v>
      </c>
      <c r="Q672" t="s">
        <v>68</v>
      </c>
      <c r="R672" t="s">
        <v>44</v>
      </c>
      <c r="S672">
        <v>12</v>
      </c>
      <c r="T672">
        <v>2019</v>
      </c>
      <c r="U672" t="s">
        <v>74</v>
      </c>
    </row>
    <row r="673" spans="1:21" x14ac:dyDescent="0.3">
      <c r="A673" t="s">
        <v>2077</v>
      </c>
      <c r="B673">
        <v>28</v>
      </c>
      <c r="C673" t="s">
        <v>47</v>
      </c>
      <c r="D673" t="s">
        <v>35</v>
      </c>
      <c r="E673" t="s">
        <v>36</v>
      </c>
      <c r="F673" s="1">
        <v>44582</v>
      </c>
      <c r="G673" t="s">
        <v>2078</v>
      </c>
      <c r="H673" t="s">
        <v>2079</v>
      </c>
      <c r="I673" t="s">
        <v>39</v>
      </c>
      <c r="J673">
        <v>20115.759999999998</v>
      </c>
      <c r="K673">
        <v>236</v>
      </c>
      <c r="L673" t="s">
        <v>28</v>
      </c>
      <c r="M673" s="1">
        <v>44612</v>
      </c>
      <c r="N673" t="s">
        <v>29</v>
      </c>
      <c r="O673" t="s">
        <v>61</v>
      </c>
      <c r="P673">
        <v>30</v>
      </c>
      <c r="Q673" t="s">
        <v>31</v>
      </c>
      <c r="R673" t="s">
        <v>32</v>
      </c>
      <c r="S673">
        <v>1</v>
      </c>
      <c r="T673">
        <v>2022</v>
      </c>
      <c r="U673" t="s">
        <v>33</v>
      </c>
    </row>
    <row r="674" spans="1:21" x14ac:dyDescent="0.3">
      <c r="A674" t="s">
        <v>2080</v>
      </c>
      <c r="B674">
        <v>42</v>
      </c>
      <c r="C674" t="s">
        <v>22</v>
      </c>
      <c r="D674" t="s">
        <v>35</v>
      </c>
      <c r="E674" t="s">
        <v>36</v>
      </c>
      <c r="F674" s="1">
        <v>43970</v>
      </c>
      <c r="G674" t="s">
        <v>2081</v>
      </c>
      <c r="H674" t="s">
        <v>2082</v>
      </c>
      <c r="I674" t="s">
        <v>39</v>
      </c>
      <c r="J674">
        <v>5947.69</v>
      </c>
      <c r="K674">
        <v>196</v>
      </c>
      <c r="L674" t="s">
        <v>40</v>
      </c>
      <c r="M674" s="1">
        <v>43994</v>
      </c>
      <c r="N674" t="s">
        <v>52</v>
      </c>
      <c r="O674" t="s">
        <v>42</v>
      </c>
      <c r="P674">
        <v>24</v>
      </c>
      <c r="Q674" t="s">
        <v>68</v>
      </c>
      <c r="R674" t="s">
        <v>100</v>
      </c>
      <c r="S674">
        <v>5</v>
      </c>
      <c r="T674">
        <v>2020</v>
      </c>
      <c r="U674" t="s">
        <v>90</v>
      </c>
    </row>
    <row r="675" spans="1:21" x14ac:dyDescent="0.3">
      <c r="A675" t="s">
        <v>2083</v>
      </c>
      <c r="B675">
        <v>61</v>
      </c>
      <c r="C675" t="s">
        <v>47</v>
      </c>
      <c r="D675" t="s">
        <v>35</v>
      </c>
      <c r="E675" t="s">
        <v>57</v>
      </c>
      <c r="F675" s="1">
        <v>45342</v>
      </c>
      <c r="G675" t="s">
        <v>2084</v>
      </c>
      <c r="H675" t="s">
        <v>2085</v>
      </c>
      <c r="I675" t="s">
        <v>82</v>
      </c>
      <c r="J675">
        <v>28281.35</v>
      </c>
      <c r="K675">
        <v>477</v>
      </c>
      <c r="L675" t="s">
        <v>40</v>
      </c>
      <c r="M675" s="1">
        <v>45359</v>
      </c>
      <c r="N675" t="s">
        <v>67</v>
      </c>
      <c r="O675" t="s">
        <v>61</v>
      </c>
      <c r="P675">
        <v>17</v>
      </c>
      <c r="Q675" t="s">
        <v>43</v>
      </c>
      <c r="R675" t="s">
        <v>32</v>
      </c>
      <c r="S675">
        <v>2</v>
      </c>
      <c r="T675">
        <v>2024</v>
      </c>
      <c r="U675" t="s">
        <v>278</v>
      </c>
    </row>
    <row r="676" spans="1:21" x14ac:dyDescent="0.3">
      <c r="A676" t="s">
        <v>2086</v>
      </c>
      <c r="B676">
        <v>75</v>
      </c>
      <c r="C676" t="s">
        <v>47</v>
      </c>
      <c r="D676" t="s">
        <v>76</v>
      </c>
      <c r="E676" t="s">
        <v>24</v>
      </c>
      <c r="F676" s="1">
        <v>45169</v>
      </c>
      <c r="G676" t="s">
        <v>2087</v>
      </c>
      <c r="H676" t="s">
        <v>2088</v>
      </c>
      <c r="I676" t="s">
        <v>39</v>
      </c>
      <c r="J676">
        <v>30873.62</v>
      </c>
      <c r="K676">
        <v>252</v>
      </c>
      <c r="L676" t="s">
        <v>60</v>
      </c>
      <c r="M676" s="1">
        <v>45176</v>
      </c>
      <c r="N676" t="s">
        <v>41</v>
      </c>
      <c r="O676" t="s">
        <v>42</v>
      </c>
      <c r="P676">
        <v>7</v>
      </c>
      <c r="Q676" t="s">
        <v>53</v>
      </c>
      <c r="R676" t="s">
        <v>44</v>
      </c>
      <c r="S676">
        <v>8</v>
      </c>
      <c r="T676">
        <v>2023</v>
      </c>
      <c r="U676" t="s">
        <v>45</v>
      </c>
    </row>
    <row r="677" spans="1:21" x14ac:dyDescent="0.3">
      <c r="A677" t="s">
        <v>2089</v>
      </c>
      <c r="B677">
        <v>85</v>
      </c>
      <c r="C677" t="s">
        <v>22</v>
      </c>
      <c r="D677" t="s">
        <v>35</v>
      </c>
      <c r="E677" t="s">
        <v>96</v>
      </c>
      <c r="F677" s="1">
        <v>44945</v>
      </c>
      <c r="G677" t="s">
        <v>2090</v>
      </c>
      <c r="H677" t="s">
        <v>2091</v>
      </c>
      <c r="I677" t="s">
        <v>82</v>
      </c>
      <c r="J677">
        <v>9542.74</v>
      </c>
      <c r="K677">
        <v>289</v>
      </c>
      <c r="L677" t="s">
        <v>40</v>
      </c>
      <c r="M677" s="1">
        <v>44954</v>
      </c>
      <c r="N677" t="s">
        <v>29</v>
      </c>
      <c r="O677" t="s">
        <v>61</v>
      </c>
      <c r="P677">
        <v>9</v>
      </c>
      <c r="Q677" t="s">
        <v>53</v>
      </c>
      <c r="R677" t="s">
        <v>100</v>
      </c>
      <c r="S677">
        <v>1</v>
      </c>
      <c r="T677">
        <v>2023</v>
      </c>
      <c r="U677" t="s">
        <v>33</v>
      </c>
    </row>
    <row r="678" spans="1:21" x14ac:dyDescent="0.3">
      <c r="A678" t="s">
        <v>2092</v>
      </c>
      <c r="B678">
        <v>74</v>
      </c>
      <c r="C678" t="s">
        <v>22</v>
      </c>
      <c r="D678" t="s">
        <v>149</v>
      </c>
      <c r="E678" t="s">
        <v>36</v>
      </c>
      <c r="F678" s="1">
        <v>45250</v>
      </c>
      <c r="G678" t="s">
        <v>2093</v>
      </c>
      <c r="H678" t="s">
        <v>2094</v>
      </c>
      <c r="I678" t="s">
        <v>27</v>
      </c>
      <c r="J678">
        <v>32429.62</v>
      </c>
      <c r="K678">
        <v>191</v>
      </c>
      <c r="L678" t="s">
        <v>40</v>
      </c>
      <c r="M678" s="1">
        <v>45277</v>
      </c>
      <c r="N678" t="s">
        <v>41</v>
      </c>
      <c r="O678" t="s">
        <v>42</v>
      </c>
      <c r="P678">
        <v>27</v>
      </c>
      <c r="Q678" t="s">
        <v>53</v>
      </c>
      <c r="R678" t="s">
        <v>44</v>
      </c>
      <c r="S678">
        <v>11</v>
      </c>
      <c r="T678">
        <v>2023</v>
      </c>
      <c r="U678" t="s">
        <v>62</v>
      </c>
    </row>
    <row r="679" spans="1:21" x14ac:dyDescent="0.3">
      <c r="A679" t="s">
        <v>2095</v>
      </c>
      <c r="B679">
        <v>59</v>
      </c>
      <c r="C679" t="s">
        <v>22</v>
      </c>
      <c r="D679" t="s">
        <v>64</v>
      </c>
      <c r="E679" t="s">
        <v>36</v>
      </c>
      <c r="F679" s="1">
        <v>44405</v>
      </c>
      <c r="G679" t="s">
        <v>2096</v>
      </c>
      <c r="H679" t="s">
        <v>2097</v>
      </c>
      <c r="I679" t="s">
        <v>82</v>
      </c>
      <c r="J679">
        <v>5588.99</v>
      </c>
      <c r="K679">
        <v>459</v>
      </c>
      <c r="L679" t="s">
        <v>28</v>
      </c>
      <c r="M679" s="1">
        <v>44411</v>
      </c>
      <c r="N679" t="s">
        <v>67</v>
      </c>
      <c r="O679" t="s">
        <v>30</v>
      </c>
      <c r="P679">
        <v>6</v>
      </c>
      <c r="Q679" t="s">
        <v>43</v>
      </c>
      <c r="R679" t="s">
        <v>100</v>
      </c>
      <c r="S679">
        <v>7</v>
      </c>
      <c r="T679">
        <v>2021</v>
      </c>
      <c r="U679" t="s">
        <v>86</v>
      </c>
    </row>
    <row r="680" spans="1:21" x14ac:dyDescent="0.3">
      <c r="A680" t="s">
        <v>2098</v>
      </c>
      <c r="B680">
        <v>49</v>
      </c>
      <c r="C680" t="s">
        <v>22</v>
      </c>
      <c r="D680" t="s">
        <v>48</v>
      </c>
      <c r="E680" t="s">
        <v>70</v>
      </c>
      <c r="F680" s="1">
        <v>45020</v>
      </c>
      <c r="G680" t="s">
        <v>2099</v>
      </c>
      <c r="H680" t="s">
        <v>2100</v>
      </c>
      <c r="I680" t="s">
        <v>73</v>
      </c>
      <c r="J680">
        <v>31497.55</v>
      </c>
      <c r="K680">
        <v>265</v>
      </c>
      <c r="L680" t="s">
        <v>40</v>
      </c>
      <c r="M680" s="1">
        <v>45043</v>
      </c>
      <c r="N680" t="s">
        <v>99</v>
      </c>
      <c r="O680" t="s">
        <v>42</v>
      </c>
      <c r="P680">
        <v>23</v>
      </c>
      <c r="Q680" t="s">
        <v>68</v>
      </c>
      <c r="R680" t="s">
        <v>44</v>
      </c>
      <c r="S680">
        <v>4</v>
      </c>
      <c r="T680">
        <v>2023</v>
      </c>
      <c r="U680" t="s">
        <v>94</v>
      </c>
    </row>
    <row r="681" spans="1:21" x14ac:dyDescent="0.3">
      <c r="A681" t="s">
        <v>2101</v>
      </c>
      <c r="B681">
        <v>85</v>
      </c>
      <c r="C681" t="s">
        <v>47</v>
      </c>
      <c r="D681" t="s">
        <v>23</v>
      </c>
      <c r="E681" t="s">
        <v>36</v>
      </c>
      <c r="F681" s="1">
        <v>44054</v>
      </c>
      <c r="G681" t="s">
        <v>2102</v>
      </c>
      <c r="H681" t="s">
        <v>2103</v>
      </c>
      <c r="I681" t="s">
        <v>82</v>
      </c>
      <c r="J681">
        <v>14283.02</v>
      </c>
      <c r="K681">
        <v>138</v>
      </c>
      <c r="L681" t="s">
        <v>60</v>
      </c>
      <c r="M681" s="1">
        <v>44067</v>
      </c>
      <c r="N681" t="s">
        <v>41</v>
      </c>
      <c r="O681" t="s">
        <v>42</v>
      </c>
      <c r="P681">
        <v>13</v>
      </c>
      <c r="Q681" t="s">
        <v>53</v>
      </c>
      <c r="R681" t="s">
        <v>32</v>
      </c>
      <c r="S681">
        <v>8</v>
      </c>
      <c r="T681">
        <v>2020</v>
      </c>
      <c r="U681" t="s">
        <v>45</v>
      </c>
    </row>
    <row r="682" spans="1:21" x14ac:dyDescent="0.3">
      <c r="A682" t="s">
        <v>2104</v>
      </c>
      <c r="B682">
        <v>51</v>
      </c>
      <c r="C682" t="s">
        <v>47</v>
      </c>
      <c r="D682" t="s">
        <v>127</v>
      </c>
      <c r="E682" t="s">
        <v>96</v>
      </c>
      <c r="F682" s="1">
        <v>43858</v>
      </c>
      <c r="G682" t="s">
        <v>2105</v>
      </c>
      <c r="H682" t="s">
        <v>2106</v>
      </c>
      <c r="I682" t="s">
        <v>82</v>
      </c>
      <c r="J682">
        <v>15422.04</v>
      </c>
      <c r="K682">
        <v>154</v>
      </c>
      <c r="L682" t="s">
        <v>28</v>
      </c>
      <c r="M682" s="1">
        <v>43882</v>
      </c>
      <c r="N682" t="s">
        <v>41</v>
      </c>
      <c r="O682" t="s">
        <v>42</v>
      </c>
      <c r="P682">
        <v>24</v>
      </c>
      <c r="Q682" t="s">
        <v>68</v>
      </c>
      <c r="R682" t="s">
        <v>32</v>
      </c>
      <c r="S682">
        <v>1</v>
      </c>
      <c r="T682">
        <v>2020</v>
      </c>
      <c r="U682" t="s">
        <v>33</v>
      </c>
    </row>
    <row r="683" spans="1:21" x14ac:dyDescent="0.3">
      <c r="A683" t="s">
        <v>2107</v>
      </c>
      <c r="B683">
        <v>23</v>
      </c>
      <c r="C683" t="s">
        <v>22</v>
      </c>
      <c r="D683" t="s">
        <v>64</v>
      </c>
      <c r="E683" t="s">
        <v>70</v>
      </c>
      <c r="F683" s="1">
        <v>43837</v>
      </c>
      <c r="G683" t="s">
        <v>2108</v>
      </c>
      <c r="H683" t="s">
        <v>2109</v>
      </c>
      <c r="I683" t="s">
        <v>82</v>
      </c>
      <c r="J683">
        <v>40309.279999999999</v>
      </c>
      <c r="K683">
        <v>219</v>
      </c>
      <c r="L683" t="s">
        <v>40</v>
      </c>
      <c r="M683" s="1">
        <v>43866</v>
      </c>
      <c r="N683" t="s">
        <v>67</v>
      </c>
      <c r="O683" t="s">
        <v>42</v>
      </c>
      <c r="P683">
        <v>29</v>
      </c>
      <c r="Q683" t="s">
        <v>31</v>
      </c>
      <c r="R683" t="s">
        <v>44</v>
      </c>
      <c r="S683">
        <v>1</v>
      </c>
      <c r="T683">
        <v>2020</v>
      </c>
      <c r="U683" t="s">
        <v>33</v>
      </c>
    </row>
    <row r="684" spans="1:21" x14ac:dyDescent="0.3">
      <c r="A684" t="s">
        <v>2110</v>
      </c>
      <c r="B684">
        <v>26</v>
      </c>
      <c r="C684" t="s">
        <v>22</v>
      </c>
      <c r="D684" t="s">
        <v>149</v>
      </c>
      <c r="E684" t="s">
        <v>70</v>
      </c>
      <c r="F684" s="1">
        <v>43941</v>
      </c>
      <c r="G684" t="s">
        <v>2111</v>
      </c>
      <c r="H684" t="s">
        <v>144</v>
      </c>
      <c r="I684" t="s">
        <v>51</v>
      </c>
      <c r="J684">
        <v>45916.32</v>
      </c>
      <c r="K684">
        <v>301</v>
      </c>
      <c r="L684" t="s">
        <v>60</v>
      </c>
      <c r="M684" s="1">
        <v>43968</v>
      </c>
      <c r="N684" t="s">
        <v>67</v>
      </c>
      <c r="O684" t="s">
        <v>61</v>
      </c>
      <c r="P684">
        <v>27</v>
      </c>
      <c r="Q684" t="s">
        <v>31</v>
      </c>
      <c r="R684" t="s">
        <v>44</v>
      </c>
      <c r="S684">
        <v>4</v>
      </c>
      <c r="T684">
        <v>2020</v>
      </c>
      <c r="U684" t="s">
        <v>94</v>
      </c>
    </row>
    <row r="685" spans="1:21" x14ac:dyDescent="0.3">
      <c r="A685" t="s">
        <v>2112</v>
      </c>
      <c r="B685">
        <v>59</v>
      </c>
      <c r="C685" t="s">
        <v>47</v>
      </c>
      <c r="D685" t="s">
        <v>64</v>
      </c>
      <c r="E685" t="s">
        <v>36</v>
      </c>
      <c r="F685" s="1">
        <v>43908</v>
      </c>
      <c r="G685" t="s">
        <v>2113</v>
      </c>
      <c r="H685" t="s">
        <v>2114</v>
      </c>
      <c r="I685" t="s">
        <v>27</v>
      </c>
      <c r="J685">
        <v>41632.519999999997</v>
      </c>
      <c r="K685">
        <v>395</v>
      </c>
      <c r="L685" t="s">
        <v>60</v>
      </c>
      <c r="M685" s="1">
        <v>43915</v>
      </c>
      <c r="N685" t="s">
        <v>67</v>
      </c>
      <c r="O685" t="s">
        <v>30</v>
      </c>
      <c r="P685">
        <v>7</v>
      </c>
      <c r="Q685" t="s">
        <v>43</v>
      </c>
      <c r="R685" t="s">
        <v>44</v>
      </c>
      <c r="S685">
        <v>3</v>
      </c>
      <c r="T685">
        <v>2020</v>
      </c>
      <c r="U685" t="s">
        <v>122</v>
      </c>
    </row>
    <row r="686" spans="1:21" x14ac:dyDescent="0.3">
      <c r="A686" t="s">
        <v>2115</v>
      </c>
      <c r="B686">
        <v>25</v>
      </c>
      <c r="C686" t="s">
        <v>47</v>
      </c>
      <c r="D686" t="s">
        <v>76</v>
      </c>
      <c r="E686" t="s">
        <v>57</v>
      </c>
      <c r="F686" s="1">
        <v>44000</v>
      </c>
      <c r="G686" t="s">
        <v>2116</v>
      </c>
      <c r="H686" t="s">
        <v>2117</v>
      </c>
      <c r="I686" t="s">
        <v>39</v>
      </c>
      <c r="J686">
        <v>7437.42</v>
      </c>
      <c r="K686">
        <v>412</v>
      </c>
      <c r="L686" t="s">
        <v>40</v>
      </c>
      <c r="M686" s="1">
        <v>44005</v>
      </c>
      <c r="N686" t="s">
        <v>29</v>
      </c>
      <c r="O686" t="s">
        <v>42</v>
      </c>
      <c r="P686">
        <v>5</v>
      </c>
      <c r="Q686" t="s">
        <v>31</v>
      </c>
      <c r="R686" t="s">
        <v>100</v>
      </c>
      <c r="S686">
        <v>6</v>
      </c>
      <c r="T686">
        <v>2020</v>
      </c>
      <c r="U686" t="s">
        <v>118</v>
      </c>
    </row>
    <row r="687" spans="1:21" x14ac:dyDescent="0.3">
      <c r="A687" t="s">
        <v>2118</v>
      </c>
      <c r="B687">
        <v>29</v>
      </c>
      <c r="C687" t="s">
        <v>22</v>
      </c>
      <c r="D687" t="s">
        <v>149</v>
      </c>
      <c r="E687" t="s">
        <v>24</v>
      </c>
      <c r="F687" s="1">
        <v>45122</v>
      </c>
      <c r="G687" t="s">
        <v>2119</v>
      </c>
      <c r="H687" t="s">
        <v>2120</v>
      </c>
      <c r="I687" t="s">
        <v>39</v>
      </c>
      <c r="J687">
        <v>38860.019999999997</v>
      </c>
      <c r="K687">
        <v>436</v>
      </c>
      <c r="L687" t="s">
        <v>60</v>
      </c>
      <c r="M687" s="1">
        <v>45134</v>
      </c>
      <c r="N687" t="s">
        <v>52</v>
      </c>
      <c r="O687" t="s">
        <v>61</v>
      </c>
      <c r="P687">
        <v>12</v>
      </c>
      <c r="Q687" t="s">
        <v>31</v>
      </c>
      <c r="R687" t="s">
        <v>44</v>
      </c>
      <c r="S687">
        <v>7</v>
      </c>
      <c r="T687">
        <v>2023</v>
      </c>
      <c r="U687" t="s">
        <v>86</v>
      </c>
    </row>
    <row r="688" spans="1:21" x14ac:dyDescent="0.3">
      <c r="A688" t="s">
        <v>2121</v>
      </c>
      <c r="B688">
        <v>25</v>
      </c>
      <c r="C688" t="s">
        <v>22</v>
      </c>
      <c r="D688" t="s">
        <v>48</v>
      </c>
      <c r="E688" t="s">
        <v>96</v>
      </c>
      <c r="F688" s="1">
        <v>45201</v>
      </c>
      <c r="G688" t="s">
        <v>2122</v>
      </c>
      <c r="H688" t="s">
        <v>2123</v>
      </c>
      <c r="I688" t="s">
        <v>82</v>
      </c>
      <c r="J688">
        <v>6662.24</v>
      </c>
      <c r="K688">
        <v>249</v>
      </c>
      <c r="L688" t="s">
        <v>28</v>
      </c>
      <c r="M688" s="1">
        <v>45223</v>
      </c>
      <c r="N688" t="s">
        <v>41</v>
      </c>
      <c r="O688" t="s">
        <v>42</v>
      </c>
      <c r="P688">
        <v>22</v>
      </c>
      <c r="Q688" t="s">
        <v>31</v>
      </c>
      <c r="R688" t="s">
        <v>100</v>
      </c>
      <c r="S688">
        <v>10</v>
      </c>
      <c r="T688">
        <v>2023</v>
      </c>
      <c r="U688" t="s">
        <v>110</v>
      </c>
    </row>
    <row r="689" spans="1:21" x14ac:dyDescent="0.3">
      <c r="A689" t="s">
        <v>2124</v>
      </c>
      <c r="B689">
        <v>61</v>
      </c>
      <c r="C689" t="s">
        <v>22</v>
      </c>
      <c r="D689" t="s">
        <v>23</v>
      </c>
      <c r="E689" t="s">
        <v>57</v>
      </c>
      <c r="F689" s="1">
        <v>44209</v>
      </c>
      <c r="G689" t="s">
        <v>2125</v>
      </c>
      <c r="H689" t="s">
        <v>2126</v>
      </c>
      <c r="I689" t="s">
        <v>82</v>
      </c>
      <c r="J689">
        <v>13074.22</v>
      </c>
      <c r="K689">
        <v>147</v>
      </c>
      <c r="L689" t="s">
        <v>28</v>
      </c>
      <c r="M689" s="1">
        <v>44232</v>
      </c>
      <c r="N689" t="s">
        <v>52</v>
      </c>
      <c r="O689" t="s">
        <v>42</v>
      </c>
      <c r="P689">
        <v>23</v>
      </c>
      <c r="Q689" t="s">
        <v>43</v>
      </c>
      <c r="R689" t="s">
        <v>32</v>
      </c>
      <c r="S689">
        <v>1</v>
      </c>
      <c r="T689">
        <v>2021</v>
      </c>
      <c r="U689" t="s">
        <v>33</v>
      </c>
    </row>
    <row r="690" spans="1:21" x14ac:dyDescent="0.3">
      <c r="A690" t="s">
        <v>2127</v>
      </c>
      <c r="B690">
        <v>46</v>
      </c>
      <c r="C690" t="s">
        <v>22</v>
      </c>
      <c r="D690" t="s">
        <v>35</v>
      </c>
      <c r="E690" t="s">
        <v>96</v>
      </c>
      <c r="F690" s="1">
        <v>44697</v>
      </c>
      <c r="G690" t="s">
        <v>2128</v>
      </c>
      <c r="H690" t="s">
        <v>2129</v>
      </c>
      <c r="I690" t="s">
        <v>51</v>
      </c>
      <c r="J690">
        <v>10443.209999999999</v>
      </c>
      <c r="K690">
        <v>408</v>
      </c>
      <c r="L690" t="s">
        <v>60</v>
      </c>
      <c r="M690" s="1">
        <v>44712</v>
      </c>
      <c r="N690" t="s">
        <v>52</v>
      </c>
      <c r="O690" t="s">
        <v>42</v>
      </c>
      <c r="P690">
        <v>15</v>
      </c>
      <c r="Q690" t="s">
        <v>68</v>
      </c>
      <c r="R690" t="s">
        <v>32</v>
      </c>
      <c r="S690">
        <v>5</v>
      </c>
      <c r="T690">
        <v>2022</v>
      </c>
      <c r="U690" t="s">
        <v>90</v>
      </c>
    </row>
    <row r="691" spans="1:21" x14ac:dyDescent="0.3">
      <c r="A691" t="s">
        <v>2130</v>
      </c>
      <c r="B691">
        <v>54</v>
      </c>
      <c r="C691" t="s">
        <v>22</v>
      </c>
      <c r="D691" t="s">
        <v>76</v>
      </c>
      <c r="E691" t="s">
        <v>96</v>
      </c>
      <c r="F691" s="1">
        <v>43760</v>
      </c>
      <c r="G691" t="s">
        <v>2131</v>
      </c>
      <c r="H691" t="s">
        <v>2132</v>
      </c>
      <c r="I691" t="s">
        <v>27</v>
      </c>
      <c r="J691">
        <v>20227.04</v>
      </c>
      <c r="K691">
        <v>144</v>
      </c>
      <c r="L691" t="s">
        <v>40</v>
      </c>
      <c r="M691" s="1">
        <v>43770</v>
      </c>
      <c r="N691" t="s">
        <v>52</v>
      </c>
      <c r="O691" t="s">
        <v>61</v>
      </c>
      <c r="P691">
        <v>10</v>
      </c>
      <c r="Q691" t="s">
        <v>68</v>
      </c>
      <c r="R691" t="s">
        <v>32</v>
      </c>
      <c r="S691">
        <v>10</v>
      </c>
      <c r="T691">
        <v>2019</v>
      </c>
      <c r="U691" t="s">
        <v>110</v>
      </c>
    </row>
    <row r="692" spans="1:21" x14ac:dyDescent="0.3">
      <c r="A692" t="s">
        <v>2133</v>
      </c>
      <c r="B692">
        <v>41</v>
      </c>
      <c r="C692" t="s">
        <v>22</v>
      </c>
      <c r="D692" t="s">
        <v>35</v>
      </c>
      <c r="E692" t="s">
        <v>36</v>
      </c>
      <c r="F692" s="1">
        <v>43686</v>
      </c>
      <c r="G692" t="s">
        <v>2134</v>
      </c>
      <c r="H692" t="s">
        <v>2135</v>
      </c>
      <c r="I692" t="s">
        <v>39</v>
      </c>
      <c r="J692">
        <v>38779.21</v>
      </c>
      <c r="K692">
        <v>268</v>
      </c>
      <c r="L692" t="s">
        <v>40</v>
      </c>
      <c r="M692" s="1">
        <v>43711</v>
      </c>
      <c r="N692" t="s">
        <v>29</v>
      </c>
      <c r="O692" t="s">
        <v>61</v>
      </c>
      <c r="P692">
        <v>25</v>
      </c>
      <c r="Q692" t="s">
        <v>68</v>
      </c>
      <c r="R692" t="s">
        <v>44</v>
      </c>
      <c r="S692">
        <v>8</v>
      </c>
      <c r="T692">
        <v>2019</v>
      </c>
      <c r="U692" t="s">
        <v>45</v>
      </c>
    </row>
    <row r="693" spans="1:21" x14ac:dyDescent="0.3">
      <c r="A693" t="s">
        <v>2136</v>
      </c>
      <c r="B693">
        <v>21</v>
      </c>
      <c r="C693" t="s">
        <v>47</v>
      </c>
      <c r="D693" t="s">
        <v>149</v>
      </c>
      <c r="E693" t="s">
        <v>70</v>
      </c>
      <c r="F693" s="1">
        <v>45290</v>
      </c>
      <c r="G693" t="s">
        <v>2137</v>
      </c>
      <c r="H693" t="s">
        <v>2138</v>
      </c>
      <c r="I693" t="s">
        <v>51</v>
      </c>
      <c r="J693">
        <v>4561.66</v>
      </c>
      <c r="K693">
        <v>357</v>
      </c>
      <c r="L693" t="s">
        <v>60</v>
      </c>
      <c r="M693" s="1">
        <v>45318</v>
      </c>
      <c r="N693" t="s">
        <v>99</v>
      </c>
      <c r="O693" t="s">
        <v>61</v>
      </c>
      <c r="P693">
        <v>28</v>
      </c>
      <c r="Q693" t="s">
        <v>31</v>
      </c>
      <c r="R693" t="s">
        <v>100</v>
      </c>
      <c r="S693">
        <v>12</v>
      </c>
      <c r="T693">
        <v>2023</v>
      </c>
      <c r="U693" t="s">
        <v>74</v>
      </c>
    </row>
    <row r="694" spans="1:21" x14ac:dyDescent="0.3">
      <c r="A694" t="s">
        <v>2139</v>
      </c>
      <c r="B694">
        <v>38</v>
      </c>
      <c r="C694" t="s">
        <v>47</v>
      </c>
      <c r="D694" t="s">
        <v>64</v>
      </c>
      <c r="E694" t="s">
        <v>57</v>
      </c>
      <c r="F694" s="1">
        <v>44753</v>
      </c>
      <c r="G694" t="s">
        <v>2140</v>
      </c>
      <c r="H694" t="s">
        <v>2141</v>
      </c>
      <c r="I694" t="s">
        <v>39</v>
      </c>
      <c r="J694">
        <v>1656.55</v>
      </c>
      <c r="K694">
        <v>176</v>
      </c>
      <c r="L694" t="s">
        <v>60</v>
      </c>
      <c r="M694" s="1">
        <v>44776</v>
      </c>
      <c r="N694" t="s">
        <v>99</v>
      </c>
      <c r="O694" t="s">
        <v>61</v>
      </c>
      <c r="P694">
        <v>23</v>
      </c>
      <c r="Q694" t="s">
        <v>68</v>
      </c>
      <c r="R694" t="s">
        <v>100</v>
      </c>
      <c r="S694">
        <v>7</v>
      </c>
      <c r="T694">
        <v>2022</v>
      </c>
      <c r="U694" t="s">
        <v>86</v>
      </c>
    </row>
    <row r="695" spans="1:21" x14ac:dyDescent="0.3">
      <c r="A695" t="s">
        <v>2142</v>
      </c>
      <c r="B695">
        <v>75</v>
      </c>
      <c r="C695" t="s">
        <v>22</v>
      </c>
      <c r="D695" t="s">
        <v>64</v>
      </c>
      <c r="E695" t="s">
        <v>36</v>
      </c>
      <c r="F695" s="1">
        <v>44093</v>
      </c>
      <c r="G695" t="s">
        <v>2143</v>
      </c>
      <c r="H695" t="s">
        <v>2144</v>
      </c>
      <c r="I695" t="s">
        <v>51</v>
      </c>
      <c r="J695">
        <v>28463.86</v>
      </c>
      <c r="K695">
        <v>200</v>
      </c>
      <c r="L695" t="s">
        <v>40</v>
      </c>
      <c r="M695" s="1">
        <v>44110</v>
      </c>
      <c r="N695" t="s">
        <v>67</v>
      </c>
      <c r="O695" t="s">
        <v>42</v>
      </c>
      <c r="P695">
        <v>17</v>
      </c>
      <c r="Q695" t="s">
        <v>53</v>
      </c>
      <c r="R695" t="s">
        <v>32</v>
      </c>
      <c r="S695">
        <v>9</v>
      </c>
      <c r="T695">
        <v>2020</v>
      </c>
      <c r="U695" t="s">
        <v>54</v>
      </c>
    </row>
    <row r="696" spans="1:21" x14ac:dyDescent="0.3">
      <c r="A696" t="s">
        <v>2145</v>
      </c>
      <c r="B696">
        <v>44</v>
      </c>
      <c r="C696" t="s">
        <v>22</v>
      </c>
      <c r="D696" t="s">
        <v>127</v>
      </c>
      <c r="E696" t="s">
        <v>24</v>
      </c>
      <c r="F696" s="1">
        <v>43714</v>
      </c>
      <c r="G696" t="s">
        <v>2146</v>
      </c>
      <c r="H696" t="s">
        <v>2147</v>
      </c>
      <c r="I696" t="s">
        <v>73</v>
      </c>
      <c r="J696">
        <v>5268.69</v>
      </c>
      <c r="K696">
        <v>142</v>
      </c>
      <c r="L696" t="s">
        <v>28</v>
      </c>
      <c r="M696" s="1">
        <v>43715</v>
      </c>
      <c r="N696" t="s">
        <v>41</v>
      </c>
      <c r="O696" t="s">
        <v>42</v>
      </c>
      <c r="P696">
        <v>1</v>
      </c>
      <c r="Q696" t="s">
        <v>68</v>
      </c>
      <c r="R696" t="s">
        <v>100</v>
      </c>
      <c r="S696">
        <v>9</v>
      </c>
      <c r="T696">
        <v>2019</v>
      </c>
      <c r="U696" t="s">
        <v>54</v>
      </c>
    </row>
    <row r="697" spans="1:21" x14ac:dyDescent="0.3">
      <c r="A697" t="s">
        <v>2148</v>
      </c>
      <c r="B697">
        <v>23</v>
      </c>
      <c r="C697" t="s">
        <v>22</v>
      </c>
      <c r="D697" t="s">
        <v>149</v>
      </c>
      <c r="E697" t="s">
        <v>36</v>
      </c>
      <c r="F697" s="1">
        <v>43791</v>
      </c>
      <c r="G697" t="s">
        <v>2149</v>
      </c>
      <c r="H697" t="s">
        <v>2150</v>
      </c>
      <c r="I697" t="s">
        <v>82</v>
      </c>
      <c r="J697">
        <v>24011.7</v>
      </c>
      <c r="K697">
        <v>442</v>
      </c>
      <c r="L697" t="s">
        <v>40</v>
      </c>
      <c r="M697" s="1">
        <v>43821</v>
      </c>
      <c r="N697" t="s">
        <v>29</v>
      </c>
      <c r="O697" t="s">
        <v>42</v>
      </c>
      <c r="P697">
        <v>30</v>
      </c>
      <c r="Q697" t="s">
        <v>31</v>
      </c>
      <c r="R697" t="s">
        <v>32</v>
      </c>
      <c r="S697">
        <v>11</v>
      </c>
      <c r="T697">
        <v>2019</v>
      </c>
      <c r="U697" t="s">
        <v>62</v>
      </c>
    </row>
    <row r="698" spans="1:21" x14ac:dyDescent="0.3">
      <c r="A698" t="s">
        <v>2151</v>
      </c>
      <c r="B698">
        <v>45</v>
      </c>
      <c r="C698" t="s">
        <v>47</v>
      </c>
      <c r="D698" t="s">
        <v>23</v>
      </c>
      <c r="E698" t="s">
        <v>24</v>
      </c>
      <c r="F698" s="1">
        <v>44034</v>
      </c>
      <c r="G698" t="s">
        <v>2152</v>
      </c>
      <c r="H698" t="s">
        <v>2153</v>
      </c>
      <c r="I698" t="s">
        <v>39</v>
      </c>
      <c r="J698">
        <v>18467.080000000002</v>
      </c>
      <c r="K698">
        <v>177</v>
      </c>
      <c r="L698" t="s">
        <v>60</v>
      </c>
      <c r="M698" s="1">
        <v>44036</v>
      </c>
      <c r="N698" t="s">
        <v>67</v>
      </c>
      <c r="O698" t="s">
        <v>61</v>
      </c>
      <c r="P698">
        <v>2</v>
      </c>
      <c r="Q698" t="s">
        <v>68</v>
      </c>
      <c r="R698" t="s">
        <v>32</v>
      </c>
      <c r="S698">
        <v>7</v>
      </c>
      <c r="T698">
        <v>2020</v>
      </c>
      <c r="U698" t="s">
        <v>86</v>
      </c>
    </row>
    <row r="699" spans="1:21" x14ac:dyDescent="0.3">
      <c r="A699" t="s">
        <v>2154</v>
      </c>
      <c r="B699">
        <v>58</v>
      </c>
      <c r="C699" t="s">
        <v>22</v>
      </c>
      <c r="D699" t="s">
        <v>127</v>
      </c>
      <c r="E699" t="s">
        <v>24</v>
      </c>
      <c r="F699" s="1">
        <v>44621</v>
      </c>
      <c r="G699" t="s">
        <v>2155</v>
      </c>
      <c r="H699" t="s">
        <v>2156</v>
      </c>
      <c r="I699" t="s">
        <v>51</v>
      </c>
      <c r="J699">
        <v>3782.74</v>
      </c>
      <c r="K699">
        <v>134</v>
      </c>
      <c r="L699" t="s">
        <v>28</v>
      </c>
      <c r="M699" s="1">
        <v>44639</v>
      </c>
      <c r="N699" t="s">
        <v>29</v>
      </c>
      <c r="O699" t="s">
        <v>61</v>
      </c>
      <c r="P699">
        <v>18</v>
      </c>
      <c r="Q699" t="s">
        <v>43</v>
      </c>
      <c r="R699" t="s">
        <v>100</v>
      </c>
      <c r="S699">
        <v>3</v>
      </c>
      <c r="T699">
        <v>2022</v>
      </c>
      <c r="U699" t="s">
        <v>122</v>
      </c>
    </row>
    <row r="700" spans="1:21" x14ac:dyDescent="0.3">
      <c r="A700" t="s">
        <v>2157</v>
      </c>
      <c r="B700">
        <v>34</v>
      </c>
      <c r="C700" t="s">
        <v>22</v>
      </c>
      <c r="D700" t="s">
        <v>23</v>
      </c>
      <c r="E700" t="s">
        <v>57</v>
      </c>
      <c r="F700" s="1">
        <v>44986</v>
      </c>
      <c r="G700" t="s">
        <v>2158</v>
      </c>
      <c r="H700" t="s">
        <v>2159</v>
      </c>
      <c r="I700" t="s">
        <v>51</v>
      </c>
      <c r="J700">
        <v>11921.66</v>
      </c>
      <c r="K700">
        <v>355</v>
      </c>
      <c r="L700" t="s">
        <v>28</v>
      </c>
      <c r="M700" s="1">
        <v>45006</v>
      </c>
      <c r="N700" t="s">
        <v>41</v>
      </c>
      <c r="O700" t="s">
        <v>42</v>
      </c>
      <c r="P700">
        <v>20</v>
      </c>
      <c r="Q700" t="s">
        <v>31</v>
      </c>
      <c r="R700" t="s">
        <v>32</v>
      </c>
      <c r="S700">
        <v>3</v>
      </c>
      <c r="T700">
        <v>2023</v>
      </c>
      <c r="U700" t="s">
        <v>122</v>
      </c>
    </row>
    <row r="701" spans="1:21" x14ac:dyDescent="0.3">
      <c r="A701" t="s">
        <v>2160</v>
      </c>
      <c r="B701">
        <v>54</v>
      </c>
      <c r="C701" t="s">
        <v>47</v>
      </c>
      <c r="D701" t="s">
        <v>127</v>
      </c>
      <c r="E701" t="s">
        <v>36</v>
      </c>
      <c r="F701" s="1">
        <v>44308</v>
      </c>
      <c r="G701" t="s">
        <v>2161</v>
      </c>
      <c r="H701" t="s">
        <v>2162</v>
      </c>
      <c r="I701" t="s">
        <v>82</v>
      </c>
      <c r="J701">
        <v>16725.98</v>
      </c>
      <c r="K701">
        <v>361</v>
      </c>
      <c r="L701" t="s">
        <v>28</v>
      </c>
      <c r="M701" s="1">
        <v>44327</v>
      </c>
      <c r="N701" t="s">
        <v>99</v>
      </c>
      <c r="O701" t="s">
        <v>61</v>
      </c>
      <c r="P701">
        <v>19</v>
      </c>
      <c r="Q701" t="s">
        <v>68</v>
      </c>
      <c r="R701" t="s">
        <v>32</v>
      </c>
      <c r="S701">
        <v>4</v>
      </c>
      <c r="T701">
        <v>2021</v>
      </c>
      <c r="U701" t="s">
        <v>94</v>
      </c>
    </row>
    <row r="702" spans="1:21" x14ac:dyDescent="0.3">
      <c r="A702" t="s">
        <v>2163</v>
      </c>
      <c r="B702">
        <v>29</v>
      </c>
      <c r="C702" t="s">
        <v>47</v>
      </c>
      <c r="D702" t="s">
        <v>35</v>
      </c>
      <c r="E702" t="s">
        <v>36</v>
      </c>
      <c r="F702" s="1">
        <v>44097</v>
      </c>
      <c r="G702" t="s">
        <v>2164</v>
      </c>
      <c r="H702" t="s">
        <v>2165</v>
      </c>
      <c r="I702" t="s">
        <v>82</v>
      </c>
      <c r="J702">
        <v>39700.82</v>
      </c>
      <c r="K702">
        <v>421</v>
      </c>
      <c r="L702" t="s">
        <v>28</v>
      </c>
      <c r="M702" s="1">
        <v>44099</v>
      </c>
      <c r="N702" t="s">
        <v>29</v>
      </c>
      <c r="O702" t="s">
        <v>42</v>
      </c>
      <c r="P702">
        <v>2</v>
      </c>
      <c r="Q702" t="s">
        <v>31</v>
      </c>
      <c r="R702" t="s">
        <v>44</v>
      </c>
      <c r="S702">
        <v>9</v>
      </c>
      <c r="T702">
        <v>2020</v>
      </c>
      <c r="U702" t="s">
        <v>54</v>
      </c>
    </row>
    <row r="703" spans="1:21" x14ac:dyDescent="0.3">
      <c r="A703" t="s">
        <v>2166</v>
      </c>
      <c r="B703">
        <v>54</v>
      </c>
      <c r="C703" t="s">
        <v>47</v>
      </c>
      <c r="D703" t="s">
        <v>35</v>
      </c>
      <c r="E703" t="s">
        <v>24</v>
      </c>
      <c r="F703" s="1">
        <v>44934</v>
      </c>
      <c r="G703" t="s">
        <v>2167</v>
      </c>
      <c r="H703" t="s">
        <v>2168</v>
      </c>
      <c r="I703" t="s">
        <v>39</v>
      </c>
      <c r="J703">
        <v>2568.0100000000002</v>
      </c>
      <c r="K703">
        <v>136</v>
      </c>
      <c r="L703" t="s">
        <v>40</v>
      </c>
      <c r="M703" s="1">
        <v>44945</v>
      </c>
      <c r="N703" t="s">
        <v>99</v>
      </c>
      <c r="O703" t="s">
        <v>61</v>
      </c>
      <c r="P703">
        <v>11</v>
      </c>
      <c r="Q703" t="s">
        <v>68</v>
      </c>
      <c r="R703" t="s">
        <v>100</v>
      </c>
      <c r="S703">
        <v>1</v>
      </c>
      <c r="T703">
        <v>2023</v>
      </c>
      <c r="U703" t="s">
        <v>33</v>
      </c>
    </row>
    <row r="704" spans="1:21" x14ac:dyDescent="0.3">
      <c r="A704" t="s">
        <v>2169</v>
      </c>
      <c r="B704">
        <v>46</v>
      </c>
      <c r="C704" t="s">
        <v>22</v>
      </c>
      <c r="D704" t="s">
        <v>76</v>
      </c>
      <c r="E704" t="s">
        <v>70</v>
      </c>
      <c r="F704" s="1">
        <v>44790</v>
      </c>
      <c r="G704" t="s">
        <v>2170</v>
      </c>
      <c r="H704" t="s">
        <v>2171</v>
      </c>
      <c r="I704" t="s">
        <v>39</v>
      </c>
      <c r="J704">
        <v>15242.39</v>
      </c>
      <c r="K704">
        <v>203</v>
      </c>
      <c r="L704" t="s">
        <v>60</v>
      </c>
      <c r="M704" s="1">
        <v>44812</v>
      </c>
      <c r="N704" t="s">
        <v>29</v>
      </c>
      <c r="O704" t="s">
        <v>61</v>
      </c>
      <c r="P704">
        <v>22</v>
      </c>
      <c r="Q704" t="s">
        <v>68</v>
      </c>
      <c r="R704" t="s">
        <v>32</v>
      </c>
      <c r="S704">
        <v>8</v>
      </c>
      <c r="T704">
        <v>2022</v>
      </c>
      <c r="U704" t="s">
        <v>45</v>
      </c>
    </row>
    <row r="705" spans="1:21" x14ac:dyDescent="0.3">
      <c r="A705" t="s">
        <v>2172</v>
      </c>
      <c r="B705">
        <v>35</v>
      </c>
      <c r="C705" t="s">
        <v>47</v>
      </c>
      <c r="D705" t="s">
        <v>64</v>
      </c>
      <c r="E705" t="s">
        <v>96</v>
      </c>
      <c r="F705" s="1">
        <v>44362</v>
      </c>
      <c r="G705" t="s">
        <v>2173</v>
      </c>
      <c r="H705" t="s">
        <v>2174</v>
      </c>
      <c r="I705" t="s">
        <v>73</v>
      </c>
      <c r="J705">
        <v>31054.05</v>
      </c>
      <c r="K705">
        <v>114</v>
      </c>
      <c r="L705" t="s">
        <v>28</v>
      </c>
      <c r="M705" s="1">
        <v>44372</v>
      </c>
      <c r="N705" t="s">
        <v>99</v>
      </c>
      <c r="O705" t="s">
        <v>30</v>
      </c>
      <c r="P705">
        <v>10</v>
      </c>
      <c r="Q705" t="s">
        <v>31</v>
      </c>
      <c r="R705" t="s">
        <v>44</v>
      </c>
      <c r="S705">
        <v>6</v>
      </c>
      <c r="T705">
        <v>2021</v>
      </c>
      <c r="U705" t="s">
        <v>118</v>
      </c>
    </row>
    <row r="706" spans="1:21" x14ac:dyDescent="0.3">
      <c r="A706" t="s">
        <v>2175</v>
      </c>
      <c r="B706">
        <v>58</v>
      </c>
      <c r="C706" t="s">
        <v>47</v>
      </c>
      <c r="D706" t="s">
        <v>64</v>
      </c>
      <c r="E706" t="s">
        <v>36</v>
      </c>
      <c r="F706" s="1">
        <v>45352</v>
      </c>
      <c r="G706" t="s">
        <v>2176</v>
      </c>
      <c r="H706" t="s">
        <v>2177</v>
      </c>
      <c r="I706" t="s">
        <v>27</v>
      </c>
      <c r="J706">
        <v>49118.59</v>
      </c>
      <c r="K706">
        <v>114</v>
      </c>
      <c r="L706" t="s">
        <v>28</v>
      </c>
      <c r="M706" s="1">
        <v>45371</v>
      </c>
      <c r="N706" t="s">
        <v>99</v>
      </c>
      <c r="O706" t="s">
        <v>42</v>
      </c>
      <c r="P706">
        <v>19</v>
      </c>
      <c r="Q706" t="s">
        <v>43</v>
      </c>
      <c r="R706" t="s">
        <v>44</v>
      </c>
      <c r="S706">
        <v>3</v>
      </c>
      <c r="T706">
        <v>2024</v>
      </c>
      <c r="U706" t="s">
        <v>122</v>
      </c>
    </row>
    <row r="707" spans="1:21" x14ac:dyDescent="0.3">
      <c r="A707" t="s">
        <v>2178</v>
      </c>
      <c r="B707">
        <v>36</v>
      </c>
      <c r="C707" t="s">
        <v>47</v>
      </c>
      <c r="D707" t="s">
        <v>64</v>
      </c>
      <c r="E707" t="s">
        <v>96</v>
      </c>
      <c r="F707" s="1">
        <v>45271</v>
      </c>
      <c r="G707" t="s">
        <v>2179</v>
      </c>
      <c r="H707" t="s">
        <v>1734</v>
      </c>
      <c r="I707" t="s">
        <v>39</v>
      </c>
      <c r="J707">
        <v>3235.58</v>
      </c>
      <c r="K707">
        <v>146</v>
      </c>
      <c r="L707" t="s">
        <v>60</v>
      </c>
      <c r="M707" s="1">
        <v>45299</v>
      </c>
      <c r="N707" t="s">
        <v>52</v>
      </c>
      <c r="O707" t="s">
        <v>30</v>
      </c>
      <c r="P707">
        <v>28</v>
      </c>
      <c r="Q707" t="s">
        <v>68</v>
      </c>
      <c r="R707" t="s">
        <v>100</v>
      </c>
      <c r="S707">
        <v>12</v>
      </c>
      <c r="T707">
        <v>2023</v>
      </c>
      <c r="U707" t="s">
        <v>74</v>
      </c>
    </row>
    <row r="708" spans="1:21" x14ac:dyDescent="0.3">
      <c r="A708" t="s">
        <v>2180</v>
      </c>
      <c r="B708">
        <v>80</v>
      </c>
      <c r="C708" t="s">
        <v>47</v>
      </c>
      <c r="D708" t="s">
        <v>127</v>
      </c>
      <c r="E708" t="s">
        <v>115</v>
      </c>
      <c r="F708" s="1">
        <v>44685</v>
      </c>
      <c r="G708" t="s">
        <v>2181</v>
      </c>
      <c r="H708" t="s">
        <v>2182</v>
      </c>
      <c r="I708" t="s">
        <v>39</v>
      </c>
      <c r="J708">
        <v>26052.02</v>
      </c>
      <c r="K708">
        <v>379</v>
      </c>
      <c r="L708" t="s">
        <v>60</v>
      </c>
      <c r="M708" s="1">
        <v>44686</v>
      </c>
      <c r="N708" t="s">
        <v>52</v>
      </c>
      <c r="O708" t="s">
        <v>61</v>
      </c>
      <c r="P708">
        <v>1</v>
      </c>
      <c r="Q708" t="s">
        <v>53</v>
      </c>
      <c r="R708" t="s">
        <v>32</v>
      </c>
      <c r="S708">
        <v>5</v>
      </c>
      <c r="T708">
        <v>2022</v>
      </c>
      <c r="U708" t="s">
        <v>90</v>
      </c>
    </row>
    <row r="709" spans="1:21" x14ac:dyDescent="0.3">
      <c r="A709" t="s">
        <v>2183</v>
      </c>
      <c r="B709">
        <v>43</v>
      </c>
      <c r="C709" t="s">
        <v>22</v>
      </c>
      <c r="D709" t="s">
        <v>48</v>
      </c>
      <c r="E709" t="s">
        <v>115</v>
      </c>
      <c r="F709" s="1">
        <v>44531</v>
      </c>
      <c r="G709" t="s">
        <v>2184</v>
      </c>
      <c r="H709" t="s">
        <v>2185</v>
      </c>
      <c r="I709" t="s">
        <v>27</v>
      </c>
      <c r="J709">
        <v>11095.4</v>
      </c>
      <c r="K709">
        <v>288</v>
      </c>
      <c r="L709" t="s">
        <v>40</v>
      </c>
      <c r="M709" s="1">
        <v>44559</v>
      </c>
      <c r="N709" t="s">
        <v>29</v>
      </c>
      <c r="O709" t="s">
        <v>42</v>
      </c>
      <c r="P709">
        <v>28</v>
      </c>
      <c r="Q709" t="s">
        <v>68</v>
      </c>
      <c r="R709" t="s">
        <v>32</v>
      </c>
      <c r="S709">
        <v>12</v>
      </c>
      <c r="T709">
        <v>2021</v>
      </c>
      <c r="U709" t="s">
        <v>74</v>
      </c>
    </row>
    <row r="710" spans="1:21" x14ac:dyDescent="0.3">
      <c r="A710" t="s">
        <v>2186</v>
      </c>
      <c r="B710">
        <v>47</v>
      </c>
      <c r="C710" t="s">
        <v>47</v>
      </c>
      <c r="D710" t="s">
        <v>127</v>
      </c>
      <c r="E710" t="s">
        <v>96</v>
      </c>
      <c r="F710" s="1">
        <v>44460</v>
      </c>
      <c r="G710" t="s">
        <v>2187</v>
      </c>
      <c r="H710" t="s">
        <v>2188</v>
      </c>
      <c r="I710" t="s">
        <v>51</v>
      </c>
      <c r="J710">
        <v>10725.83</v>
      </c>
      <c r="K710">
        <v>355</v>
      </c>
      <c r="L710" t="s">
        <v>60</v>
      </c>
      <c r="M710" s="1">
        <v>44479</v>
      </c>
      <c r="N710" t="s">
        <v>41</v>
      </c>
      <c r="O710" t="s">
        <v>61</v>
      </c>
      <c r="P710">
        <v>19</v>
      </c>
      <c r="Q710" t="s">
        <v>68</v>
      </c>
      <c r="R710" t="s">
        <v>32</v>
      </c>
      <c r="S710">
        <v>9</v>
      </c>
      <c r="T710">
        <v>2021</v>
      </c>
      <c r="U710" t="s">
        <v>54</v>
      </c>
    </row>
    <row r="711" spans="1:21" x14ac:dyDescent="0.3">
      <c r="A711" t="s">
        <v>2189</v>
      </c>
      <c r="B711">
        <v>49</v>
      </c>
      <c r="C711" t="s">
        <v>47</v>
      </c>
      <c r="D711" t="s">
        <v>23</v>
      </c>
      <c r="E711" t="s">
        <v>96</v>
      </c>
      <c r="F711" s="1">
        <v>43910</v>
      </c>
      <c r="G711" t="s">
        <v>2190</v>
      </c>
      <c r="H711" t="s">
        <v>2191</v>
      </c>
      <c r="I711" t="s">
        <v>73</v>
      </c>
      <c r="J711">
        <v>30038.28</v>
      </c>
      <c r="K711">
        <v>424</v>
      </c>
      <c r="L711" t="s">
        <v>60</v>
      </c>
      <c r="M711" s="1">
        <v>43930</v>
      </c>
      <c r="N711" t="s">
        <v>41</v>
      </c>
      <c r="O711" t="s">
        <v>61</v>
      </c>
      <c r="P711">
        <v>20</v>
      </c>
      <c r="Q711" t="s">
        <v>68</v>
      </c>
      <c r="R711" t="s">
        <v>44</v>
      </c>
      <c r="S711">
        <v>3</v>
      </c>
      <c r="T711">
        <v>2020</v>
      </c>
      <c r="U711" t="s">
        <v>122</v>
      </c>
    </row>
    <row r="712" spans="1:21" x14ac:dyDescent="0.3">
      <c r="A712" t="s">
        <v>2192</v>
      </c>
      <c r="B712">
        <v>58</v>
      </c>
      <c r="C712" t="s">
        <v>22</v>
      </c>
      <c r="D712" t="s">
        <v>76</v>
      </c>
      <c r="E712" t="s">
        <v>70</v>
      </c>
      <c r="F712" s="1">
        <v>45380</v>
      </c>
      <c r="G712" t="s">
        <v>2193</v>
      </c>
      <c r="H712" t="s">
        <v>2194</v>
      </c>
      <c r="I712" t="s">
        <v>73</v>
      </c>
      <c r="J712">
        <v>49446.46</v>
      </c>
      <c r="K712">
        <v>108</v>
      </c>
      <c r="L712" t="s">
        <v>40</v>
      </c>
      <c r="M712" s="1">
        <v>45398</v>
      </c>
      <c r="N712" t="s">
        <v>99</v>
      </c>
      <c r="O712" t="s">
        <v>61</v>
      </c>
      <c r="P712">
        <v>18</v>
      </c>
      <c r="Q712" t="s">
        <v>43</v>
      </c>
      <c r="R712" t="s">
        <v>44</v>
      </c>
      <c r="S712">
        <v>3</v>
      </c>
      <c r="T712">
        <v>2024</v>
      </c>
      <c r="U712" t="s">
        <v>122</v>
      </c>
    </row>
    <row r="713" spans="1:21" x14ac:dyDescent="0.3">
      <c r="A713" t="s">
        <v>2195</v>
      </c>
      <c r="B713">
        <v>40</v>
      </c>
      <c r="C713" t="s">
        <v>47</v>
      </c>
      <c r="D713" t="s">
        <v>76</v>
      </c>
      <c r="E713" t="s">
        <v>36</v>
      </c>
      <c r="F713" s="1">
        <v>45363</v>
      </c>
      <c r="G713" t="s">
        <v>2196</v>
      </c>
      <c r="H713" t="s">
        <v>2197</v>
      </c>
      <c r="I713" t="s">
        <v>82</v>
      </c>
      <c r="J713">
        <v>5315.71</v>
      </c>
      <c r="K713">
        <v>258</v>
      </c>
      <c r="L713" t="s">
        <v>40</v>
      </c>
      <c r="M713" s="1">
        <v>45376</v>
      </c>
      <c r="N713" t="s">
        <v>67</v>
      </c>
      <c r="O713" t="s">
        <v>61</v>
      </c>
      <c r="P713">
        <v>13</v>
      </c>
      <c r="Q713" t="s">
        <v>68</v>
      </c>
      <c r="R713" t="s">
        <v>100</v>
      </c>
      <c r="S713">
        <v>3</v>
      </c>
      <c r="T713">
        <v>2024</v>
      </c>
      <c r="U713" t="s">
        <v>122</v>
      </c>
    </row>
    <row r="714" spans="1:21" x14ac:dyDescent="0.3">
      <c r="A714" t="s">
        <v>2198</v>
      </c>
      <c r="B714">
        <v>44</v>
      </c>
      <c r="C714" t="s">
        <v>22</v>
      </c>
      <c r="D714" t="s">
        <v>48</v>
      </c>
      <c r="E714" t="s">
        <v>24</v>
      </c>
      <c r="F714" s="1">
        <v>44641</v>
      </c>
      <c r="G714" t="s">
        <v>2199</v>
      </c>
      <c r="H714" t="s">
        <v>2200</v>
      </c>
      <c r="I714" t="s">
        <v>27</v>
      </c>
      <c r="J714">
        <v>13928.28</v>
      </c>
      <c r="K714">
        <v>113</v>
      </c>
      <c r="L714" t="s">
        <v>40</v>
      </c>
      <c r="M714" s="1">
        <v>44657</v>
      </c>
      <c r="N714" t="s">
        <v>67</v>
      </c>
      <c r="O714" t="s">
        <v>42</v>
      </c>
      <c r="P714">
        <v>16</v>
      </c>
      <c r="Q714" t="s">
        <v>68</v>
      </c>
      <c r="R714" t="s">
        <v>32</v>
      </c>
      <c r="S714">
        <v>3</v>
      </c>
      <c r="T714">
        <v>2022</v>
      </c>
      <c r="U714" t="s">
        <v>122</v>
      </c>
    </row>
    <row r="715" spans="1:21" x14ac:dyDescent="0.3">
      <c r="A715" t="s">
        <v>2201</v>
      </c>
      <c r="B715">
        <v>38</v>
      </c>
      <c r="C715" t="s">
        <v>22</v>
      </c>
      <c r="D715" t="s">
        <v>35</v>
      </c>
      <c r="E715" t="s">
        <v>57</v>
      </c>
      <c r="F715" s="1">
        <v>44035</v>
      </c>
      <c r="G715" t="s">
        <v>1724</v>
      </c>
      <c r="H715" t="s">
        <v>2202</v>
      </c>
      <c r="I715" t="s">
        <v>51</v>
      </c>
      <c r="J715">
        <v>2744.41</v>
      </c>
      <c r="K715">
        <v>162</v>
      </c>
      <c r="L715" t="s">
        <v>40</v>
      </c>
      <c r="M715" s="1">
        <v>44052</v>
      </c>
      <c r="N715" t="s">
        <v>41</v>
      </c>
      <c r="O715" t="s">
        <v>61</v>
      </c>
      <c r="P715">
        <v>17</v>
      </c>
      <c r="Q715" t="s">
        <v>68</v>
      </c>
      <c r="R715" t="s">
        <v>100</v>
      </c>
      <c r="S715">
        <v>7</v>
      </c>
      <c r="T715">
        <v>2020</v>
      </c>
      <c r="U715" t="s">
        <v>86</v>
      </c>
    </row>
    <row r="716" spans="1:21" x14ac:dyDescent="0.3">
      <c r="A716" t="s">
        <v>2203</v>
      </c>
      <c r="B716">
        <v>82</v>
      </c>
      <c r="C716" t="s">
        <v>22</v>
      </c>
      <c r="D716" t="s">
        <v>35</v>
      </c>
      <c r="E716" t="s">
        <v>36</v>
      </c>
      <c r="F716" s="1">
        <v>45361</v>
      </c>
      <c r="G716" t="s">
        <v>2204</v>
      </c>
      <c r="H716" t="s">
        <v>2205</v>
      </c>
      <c r="I716" t="s">
        <v>82</v>
      </c>
      <c r="J716">
        <v>27512.91</v>
      </c>
      <c r="K716">
        <v>442</v>
      </c>
      <c r="L716" t="s">
        <v>40</v>
      </c>
      <c r="M716" s="1">
        <v>45389</v>
      </c>
      <c r="N716" t="s">
        <v>52</v>
      </c>
      <c r="O716" t="s">
        <v>30</v>
      </c>
      <c r="P716">
        <v>28</v>
      </c>
      <c r="Q716" t="s">
        <v>53</v>
      </c>
      <c r="R716" t="s">
        <v>32</v>
      </c>
      <c r="S716">
        <v>3</v>
      </c>
      <c r="T716">
        <v>2024</v>
      </c>
      <c r="U716" t="s">
        <v>122</v>
      </c>
    </row>
    <row r="717" spans="1:21" x14ac:dyDescent="0.3">
      <c r="A717" t="s">
        <v>2206</v>
      </c>
      <c r="B717">
        <v>71</v>
      </c>
      <c r="C717" t="s">
        <v>22</v>
      </c>
      <c r="D717" t="s">
        <v>48</v>
      </c>
      <c r="E717" t="s">
        <v>115</v>
      </c>
      <c r="F717" s="1">
        <v>43905</v>
      </c>
      <c r="G717" t="s">
        <v>2207</v>
      </c>
      <c r="H717" t="s">
        <v>2208</v>
      </c>
      <c r="I717" t="s">
        <v>27</v>
      </c>
      <c r="J717">
        <v>35854.089999999997</v>
      </c>
      <c r="K717">
        <v>172</v>
      </c>
      <c r="L717" t="s">
        <v>28</v>
      </c>
      <c r="M717" s="1">
        <v>43919</v>
      </c>
      <c r="N717" t="s">
        <v>99</v>
      </c>
      <c r="O717" t="s">
        <v>61</v>
      </c>
      <c r="P717">
        <v>14</v>
      </c>
      <c r="Q717" t="s">
        <v>53</v>
      </c>
      <c r="R717" t="s">
        <v>44</v>
      </c>
      <c r="S717">
        <v>3</v>
      </c>
      <c r="T717">
        <v>2020</v>
      </c>
      <c r="U717" t="s">
        <v>122</v>
      </c>
    </row>
    <row r="718" spans="1:21" x14ac:dyDescent="0.3">
      <c r="A718" t="s">
        <v>2209</v>
      </c>
      <c r="B718">
        <v>42</v>
      </c>
      <c r="C718" t="s">
        <v>22</v>
      </c>
      <c r="D718" t="s">
        <v>35</v>
      </c>
      <c r="E718" t="s">
        <v>57</v>
      </c>
      <c r="F718" s="1">
        <v>44326</v>
      </c>
      <c r="G718" t="s">
        <v>2210</v>
      </c>
      <c r="H718" t="s">
        <v>2211</v>
      </c>
      <c r="I718" t="s">
        <v>82</v>
      </c>
      <c r="J718">
        <v>2784.02</v>
      </c>
      <c r="K718">
        <v>241</v>
      </c>
      <c r="L718" t="s">
        <v>28</v>
      </c>
      <c r="M718" s="1">
        <v>44332</v>
      </c>
      <c r="N718" t="s">
        <v>67</v>
      </c>
      <c r="O718" t="s">
        <v>61</v>
      </c>
      <c r="P718">
        <v>6</v>
      </c>
      <c r="Q718" t="s">
        <v>68</v>
      </c>
      <c r="R718" t="s">
        <v>100</v>
      </c>
      <c r="S718">
        <v>5</v>
      </c>
      <c r="T718">
        <v>2021</v>
      </c>
      <c r="U718" t="s">
        <v>90</v>
      </c>
    </row>
    <row r="719" spans="1:21" x14ac:dyDescent="0.3">
      <c r="A719" t="s">
        <v>2212</v>
      </c>
      <c r="B719">
        <v>38</v>
      </c>
      <c r="C719" t="s">
        <v>47</v>
      </c>
      <c r="D719" t="s">
        <v>56</v>
      </c>
      <c r="E719" t="s">
        <v>57</v>
      </c>
      <c r="F719" s="1">
        <v>44194</v>
      </c>
      <c r="G719" t="s">
        <v>2213</v>
      </c>
      <c r="H719" t="s">
        <v>2214</v>
      </c>
      <c r="I719" t="s">
        <v>73</v>
      </c>
      <c r="J719">
        <v>2547.91</v>
      </c>
      <c r="K719">
        <v>322</v>
      </c>
      <c r="L719" t="s">
        <v>60</v>
      </c>
      <c r="M719" s="1">
        <v>44203</v>
      </c>
      <c r="N719" t="s">
        <v>67</v>
      </c>
      <c r="O719" t="s">
        <v>42</v>
      </c>
      <c r="P719">
        <v>9</v>
      </c>
      <c r="Q719" t="s">
        <v>68</v>
      </c>
      <c r="R719" t="s">
        <v>100</v>
      </c>
      <c r="S719">
        <v>12</v>
      </c>
      <c r="T719">
        <v>2020</v>
      </c>
      <c r="U719" t="s">
        <v>74</v>
      </c>
    </row>
    <row r="720" spans="1:21" x14ac:dyDescent="0.3">
      <c r="A720" t="s">
        <v>2215</v>
      </c>
      <c r="B720">
        <v>84</v>
      </c>
      <c r="C720" t="s">
        <v>22</v>
      </c>
      <c r="D720" t="s">
        <v>23</v>
      </c>
      <c r="E720" t="s">
        <v>115</v>
      </c>
      <c r="F720" s="1">
        <v>43913</v>
      </c>
      <c r="G720" t="s">
        <v>2216</v>
      </c>
      <c r="H720" t="s">
        <v>2217</v>
      </c>
      <c r="I720" t="s">
        <v>51</v>
      </c>
      <c r="J720">
        <v>29992.54</v>
      </c>
      <c r="K720">
        <v>456</v>
      </c>
      <c r="L720" t="s">
        <v>28</v>
      </c>
      <c r="M720" s="1">
        <v>43919</v>
      </c>
      <c r="N720" t="s">
        <v>52</v>
      </c>
      <c r="O720" t="s">
        <v>30</v>
      </c>
      <c r="P720">
        <v>6</v>
      </c>
      <c r="Q720" t="s">
        <v>53</v>
      </c>
      <c r="R720" t="s">
        <v>32</v>
      </c>
      <c r="S720">
        <v>3</v>
      </c>
      <c r="T720">
        <v>2020</v>
      </c>
      <c r="U720" t="s">
        <v>122</v>
      </c>
    </row>
    <row r="721" spans="1:21" x14ac:dyDescent="0.3">
      <c r="A721" t="s">
        <v>2218</v>
      </c>
      <c r="B721">
        <v>64</v>
      </c>
      <c r="C721" t="s">
        <v>47</v>
      </c>
      <c r="D721" t="s">
        <v>149</v>
      </c>
      <c r="E721" t="s">
        <v>96</v>
      </c>
      <c r="F721" s="1">
        <v>45120</v>
      </c>
      <c r="G721" t="s">
        <v>2219</v>
      </c>
      <c r="H721" t="s">
        <v>2220</v>
      </c>
      <c r="I721" t="s">
        <v>51</v>
      </c>
      <c r="J721">
        <v>4018.02</v>
      </c>
      <c r="K721">
        <v>415</v>
      </c>
      <c r="L721" t="s">
        <v>40</v>
      </c>
      <c r="M721" s="1">
        <v>45132</v>
      </c>
      <c r="N721" t="s">
        <v>41</v>
      </c>
      <c r="O721" t="s">
        <v>61</v>
      </c>
      <c r="P721">
        <v>12</v>
      </c>
      <c r="Q721" t="s">
        <v>43</v>
      </c>
      <c r="R721" t="s">
        <v>100</v>
      </c>
      <c r="S721">
        <v>7</v>
      </c>
      <c r="T721">
        <v>2023</v>
      </c>
      <c r="U721" t="s">
        <v>86</v>
      </c>
    </row>
    <row r="722" spans="1:21" x14ac:dyDescent="0.3">
      <c r="A722" t="s">
        <v>2221</v>
      </c>
      <c r="B722">
        <v>57</v>
      </c>
      <c r="C722" t="s">
        <v>47</v>
      </c>
      <c r="D722" t="s">
        <v>76</v>
      </c>
      <c r="E722" t="s">
        <v>70</v>
      </c>
      <c r="F722" s="1">
        <v>45127</v>
      </c>
      <c r="G722" t="s">
        <v>2222</v>
      </c>
      <c r="H722" t="s">
        <v>2223</v>
      </c>
      <c r="I722" t="s">
        <v>51</v>
      </c>
      <c r="J722">
        <v>20508.59</v>
      </c>
      <c r="K722">
        <v>261</v>
      </c>
      <c r="L722" t="s">
        <v>28</v>
      </c>
      <c r="M722" s="1">
        <v>45140</v>
      </c>
      <c r="N722" t="s">
        <v>41</v>
      </c>
      <c r="O722" t="s">
        <v>42</v>
      </c>
      <c r="P722">
        <v>13</v>
      </c>
      <c r="Q722" t="s">
        <v>43</v>
      </c>
      <c r="R722" t="s">
        <v>32</v>
      </c>
      <c r="S722">
        <v>7</v>
      </c>
      <c r="T722">
        <v>2023</v>
      </c>
      <c r="U722" t="s">
        <v>86</v>
      </c>
    </row>
    <row r="723" spans="1:21" x14ac:dyDescent="0.3">
      <c r="A723" t="s">
        <v>2224</v>
      </c>
      <c r="B723">
        <v>54</v>
      </c>
      <c r="C723" t="s">
        <v>22</v>
      </c>
      <c r="D723" t="s">
        <v>127</v>
      </c>
      <c r="E723" t="s">
        <v>57</v>
      </c>
      <c r="F723" s="1">
        <v>43875</v>
      </c>
      <c r="G723" t="s">
        <v>2225</v>
      </c>
      <c r="H723" t="s">
        <v>2226</v>
      </c>
      <c r="I723" t="s">
        <v>27</v>
      </c>
      <c r="J723">
        <v>25648.04</v>
      </c>
      <c r="K723">
        <v>424</v>
      </c>
      <c r="L723" t="s">
        <v>28</v>
      </c>
      <c r="M723" s="1">
        <v>43891</v>
      </c>
      <c r="N723" t="s">
        <v>29</v>
      </c>
      <c r="O723" t="s">
        <v>30</v>
      </c>
      <c r="P723">
        <v>16</v>
      </c>
      <c r="Q723" t="s">
        <v>68</v>
      </c>
      <c r="R723" t="s">
        <v>32</v>
      </c>
      <c r="S723">
        <v>2</v>
      </c>
      <c r="T723">
        <v>2020</v>
      </c>
      <c r="U723" t="s">
        <v>278</v>
      </c>
    </row>
    <row r="724" spans="1:21" x14ac:dyDescent="0.3">
      <c r="A724" t="s">
        <v>2227</v>
      </c>
      <c r="B724">
        <v>44</v>
      </c>
      <c r="C724" t="s">
        <v>22</v>
      </c>
      <c r="D724" t="s">
        <v>23</v>
      </c>
      <c r="E724" t="s">
        <v>115</v>
      </c>
      <c r="F724" s="1">
        <v>45074</v>
      </c>
      <c r="G724" t="s">
        <v>2228</v>
      </c>
      <c r="H724" t="s">
        <v>2229</v>
      </c>
      <c r="I724" t="s">
        <v>27</v>
      </c>
      <c r="J724">
        <v>19691.419999999998</v>
      </c>
      <c r="K724">
        <v>264</v>
      </c>
      <c r="L724" t="s">
        <v>60</v>
      </c>
      <c r="M724" s="1">
        <v>45099</v>
      </c>
      <c r="N724" t="s">
        <v>52</v>
      </c>
      <c r="O724" t="s">
        <v>42</v>
      </c>
      <c r="P724">
        <v>25</v>
      </c>
      <c r="Q724" t="s">
        <v>68</v>
      </c>
      <c r="R724" t="s">
        <v>32</v>
      </c>
      <c r="S724">
        <v>5</v>
      </c>
      <c r="T724">
        <v>2023</v>
      </c>
      <c r="U724" t="s">
        <v>90</v>
      </c>
    </row>
    <row r="725" spans="1:21" x14ac:dyDescent="0.3">
      <c r="A725" t="s">
        <v>2230</v>
      </c>
      <c r="B725">
        <v>78</v>
      </c>
      <c r="C725" t="s">
        <v>47</v>
      </c>
      <c r="D725" t="s">
        <v>23</v>
      </c>
      <c r="E725" t="s">
        <v>24</v>
      </c>
      <c r="F725" s="1">
        <v>44724</v>
      </c>
      <c r="G725" t="s">
        <v>2231</v>
      </c>
      <c r="H725" t="s">
        <v>2232</v>
      </c>
      <c r="I725" t="s">
        <v>82</v>
      </c>
      <c r="J725">
        <v>10311.94</v>
      </c>
      <c r="K725">
        <v>211</v>
      </c>
      <c r="L725" t="s">
        <v>28</v>
      </c>
      <c r="M725" s="1">
        <v>44739</v>
      </c>
      <c r="N725" t="s">
        <v>67</v>
      </c>
      <c r="O725" t="s">
        <v>42</v>
      </c>
      <c r="P725">
        <v>15</v>
      </c>
      <c r="Q725" t="s">
        <v>53</v>
      </c>
      <c r="R725" t="s">
        <v>32</v>
      </c>
      <c r="S725">
        <v>6</v>
      </c>
      <c r="T725">
        <v>2022</v>
      </c>
      <c r="U725" t="s">
        <v>118</v>
      </c>
    </row>
    <row r="726" spans="1:21" x14ac:dyDescent="0.3">
      <c r="A726" t="s">
        <v>2233</v>
      </c>
      <c r="B726">
        <v>63</v>
      </c>
      <c r="C726" t="s">
        <v>47</v>
      </c>
      <c r="D726" t="s">
        <v>35</v>
      </c>
      <c r="E726" t="s">
        <v>24</v>
      </c>
      <c r="F726" s="1">
        <v>45272</v>
      </c>
      <c r="G726" t="s">
        <v>2234</v>
      </c>
      <c r="H726" t="s">
        <v>2235</v>
      </c>
      <c r="I726" t="s">
        <v>39</v>
      </c>
      <c r="J726">
        <v>17733.95</v>
      </c>
      <c r="K726">
        <v>114</v>
      </c>
      <c r="L726" t="s">
        <v>60</v>
      </c>
      <c r="M726" s="1">
        <v>45273</v>
      </c>
      <c r="N726" t="s">
        <v>99</v>
      </c>
      <c r="O726" t="s">
        <v>30</v>
      </c>
      <c r="P726">
        <v>1</v>
      </c>
      <c r="Q726" t="s">
        <v>43</v>
      </c>
      <c r="R726" t="s">
        <v>32</v>
      </c>
      <c r="S726">
        <v>12</v>
      </c>
      <c r="T726">
        <v>2023</v>
      </c>
      <c r="U726" t="s">
        <v>74</v>
      </c>
    </row>
    <row r="727" spans="1:21" x14ac:dyDescent="0.3">
      <c r="A727" t="s">
        <v>2236</v>
      </c>
      <c r="B727">
        <v>66</v>
      </c>
      <c r="C727" t="s">
        <v>47</v>
      </c>
      <c r="D727" t="s">
        <v>23</v>
      </c>
      <c r="E727" t="s">
        <v>96</v>
      </c>
      <c r="F727" s="1">
        <v>45236</v>
      </c>
      <c r="G727" t="s">
        <v>2237</v>
      </c>
      <c r="H727" t="s">
        <v>2238</v>
      </c>
      <c r="I727" t="s">
        <v>82</v>
      </c>
      <c r="J727">
        <v>10521.47</v>
      </c>
      <c r="K727">
        <v>288</v>
      </c>
      <c r="L727" t="s">
        <v>40</v>
      </c>
      <c r="M727" s="1">
        <v>45242</v>
      </c>
      <c r="N727" t="s">
        <v>99</v>
      </c>
      <c r="O727" t="s">
        <v>42</v>
      </c>
      <c r="P727">
        <v>6</v>
      </c>
      <c r="Q727" t="s">
        <v>43</v>
      </c>
      <c r="R727" t="s">
        <v>32</v>
      </c>
      <c r="S727">
        <v>11</v>
      </c>
      <c r="T727">
        <v>2023</v>
      </c>
      <c r="U727" t="s">
        <v>62</v>
      </c>
    </row>
    <row r="728" spans="1:21" x14ac:dyDescent="0.3">
      <c r="A728" t="s">
        <v>2239</v>
      </c>
      <c r="B728">
        <v>75</v>
      </c>
      <c r="C728" t="s">
        <v>22</v>
      </c>
      <c r="D728" t="s">
        <v>76</v>
      </c>
      <c r="E728" t="s">
        <v>115</v>
      </c>
      <c r="F728" s="1">
        <v>45062</v>
      </c>
      <c r="G728" t="s">
        <v>2240</v>
      </c>
      <c r="H728" t="s">
        <v>2241</v>
      </c>
      <c r="I728" t="s">
        <v>27</v>
      </c>
      <c r="J728">
        <v>29910.91</v>
      </c>
      <c r="K728">
        <v>400</v>
      </c>
      <c r="L728" t="s">
        <v>60</v>
      </c>
      <c r="M728" s="1">
        <v>45076</v>
      </c>
      <c r="N728" t="s">
        <v>67</v>
      </c>
      <c r="O728" t="s">
        <v>61</v>
      </c>
      <c r="P728">
        <v>14</v>
      </c>
      <c r="Q728" t="s">
        <v>53</v>
      </c>
      <c r="R728" t="s">
        <v>32</v>
      </c>
      <c r="S728">
        <v>5</v>
      </c>
      <c r="T728">
        <v>2023</v>
      </c>
      <c r="U728" t="s">
        <v>90</v>
      </c>
    </row>
    <row r="729" spans="1:21" x14ac:dyDescent="0.3">
      <c r="A729" t="s">
        <v>2242</v>
      </c>
      <c r="B729">
        <v>36</v>
      </c>
      <c r="C729" t="s">
        <v>22</v>
      </c>
      <c r="D729" t="s">
        <v>149</v>
      </c>
      <c r="E729" t="s">
        <v>57</v>
      </c>
      <c r="F729" s="1">
        <v>44846</v>
      </c>
      <c r="G729" t="s">
        <v>2243</v>
      </c>
      <c r="H729" t="s">
        <v>2244</v>
      </c>
      <c r="I729" t="s">
        <v>82</v>
      </c>
      <c r="J729">
        <v>26612.01</v>
      </c>
      <c r="K729">
        <v>377</v>
      </c>
      <c r="L729" t="s">
        <v>60</v>
      </c>
      <c r="M729" s="1">
        <v>44848</v>
      </c>
      <c r="N729" t="s">
        <v>52</v>
      </c>
      <c r="O729" t="s">
        <v>30</v>
      </c>
      <c r="P729">
        <v>2</v>
      </c>
      <c r="Q729" t="s">
        <v>68</v>
      </c>
      <c r="R729" t="s">
        <v>32</v>
      </c>
      <c r="S729">
        <v>10</v>
      </c>
      <c r="T729">
        <v>2022</v>
      </c>
      <c r="U729" t="s">
        <v>110</v>
      </c>
    </row>
    <row r="730" spans="1:21" x14ac:dyDescent="0.3">
      <c r="A730" t="s">
        <v>2245</v>
      </c>
      <c r="B730">
        <v>18</v>
      </c>
      <c r="C730" t="s">
        <v>47</v>
      </c>
      <c r="D730" t="s">
        <v>64</v>
      </c>
      <c r="E730" t="s">
        <v>57</v>
      </c>
      <c r="F730" s="1">
        <v>45290</v>
      </c>
      <c r="G730" t="s">
        <v>2246</v>
      </c>
      <c r="H730" t="s">
        <v>2247</v>
      </c>
      <c r="I730" t="s">
        <v>51</v>
      </c>
      <c r="J730">
        <v>25858.44</v>
      </c>
      <c r="K730">
        <v>324</v>
      </c>
      <c r="L730" t="s">
        <v>60</v>
      </c>
      <c r="M730" s="1">
        <v>45305</v>
      </c>
      <c r="N730" t="s">
        <v>67</v>
      </c>
      <c r="O730" t="s">
        <v>30</v>
      </c>
      <c r="P730">
        <v>15</v>
      </c>
      <c r="Q730" t="s">
        <v>31</v>
      </c>
      <c r="R730" t="s">
        <v>32</v>
      </c>
      <c r="S730">
        <v>12</v>
      </c>
      <c r="T730">
        <v>2023</v>
      </c>
      <c r="U730" t="s">
        <v>74</v>
      </c>
    </row>
    <row r="731" spans="1:21" x14ac:dyDescent="0.3">
      <c r="A731" t="s">
        <v>2248</v>
      </c>
      <c r="B731">
        <v>49</v>
      </c>
      <c r="C731" t="s">
        <v>22</v>
      </c>
      <c r="D731" t="s">
        <v>127</v>
      </c>
      <c r="E731" t="s">
        <v>96</v>
      </c>
      <c r="F731" s="1">
        <v>45348</v>
      </c>
      <c r="G731" t="s">
        <v>2249</v>
      </c>
      <c r="H731" t="s">
        <v>2250</v>
      </c>
      <c r="I731" t="s">
        <v>51</v>
      </c>
      <c r="J731">
        <v>22069.599999999999</v>
      </c>
      <c r="K731">
        <v>142</v>
      </c>
      <c r="L731" t="s">
        <v>60</v>
      </c>
      <c r="M731" s="1">
        <v>45360</v>
      </c>
      <c r="N731" t="s">
        <v>29</v>
      </c>
      <c r="O731" t="s">
        <v>30</v>
      </c>
      <c r="P731">
        <v>12</v>
      </c>
      <c r="Q731" t="s">
        <v>68</v>
      </c>
      <c r="R731" t="s">
        <v>32</v>
      </c>
      <c r="S731">
        <v>2</v>
      </c>
      <c r="T731">
        <v>2024</v>
      </c>
      <c r="U731" t="s">
        <v>278</v>
      </c>
    </row>
    <row r="732" spans="1:21" x14ac:dyDescent="0.3">
      <c r="A732" t="s">
        <v>2251</v>
      </c>
      <c r="B732">
        <v>22</v>
      </c>
      <c r="C732" t="s">
        <v>47</v>
      </c>
      <c r="D732" t="s">
        <v>127</v>
      </c>
      <c r="E732" t="s">
        <v>70</v>
      </c>
      <c r="F732" s="1">
        <v>44507</v>
      </c>
      <c r="G732" t="s">
        <v>2252</v>
      </c>
      <c r="H732" t="s">
        <v>2253</v>
      </c>
      <c r="I732" t="s">
        <v>82</v>
      </c>
      <c r="J732">
        <v>43117.66</v>
      </c>
      <c r="K732">
        <v>458</v>
      </c>
      <c r="L732" t="s">
        <v>40</v>
      </c>
      <c r="M732" s="1">
        <v>44526</v>
      </c>
      <c r="N732" t="s">
        <v>67</v>
      </c>
      <c r="O732" t="s">
        <v>61</v>
      </c>
      <c r="P732">
        <v>19</v>
      </c>
      <c r="Q732" t="s">
        <v>31</v>
      </c>
      <c r="R732" t="s">
        <v>44</v>
      </c>
      <c r="S732">
        <v>11</v>
      </c>
      <c r="T732">
        <v>2021</v>
      </c>
      <c r="U732" t="s">
        <v>62</v>
      </c>
    </row>
    <row r="733" spans="1:21" x14ac:dyDescent="0.3">
      <c r="A733" t="s">
        <v>2254</v>
      </c>
      <c r="B733">
        <v>72</v>
      </c>
      <c r="C733" t="s">
        <v>47</v>
      </c>
      <c r="D733" t="s">
        <v>127</v>
      </c>
      <c r="E733" t="s">
        <v>96</v>
      </c>
      <c r="F733" s="1">
        <v>43864</v>
      </c>
      <c r="G733" t="s">
        <v>2255</v>
      </c>
      <c r="H733" t="s">
        <v>2256</v>
      </c>
      <c r="I733" t="s">
        <v>82</v>
      </c>
      <c r="J733">
        <v>3718.55</v>
      </c>
      <c r="K733">
        <v>304</v>
      </c>
      <c r="L733" t="s">
        <v>28</v>
      </c>
      <c r="M733" s="1">
        <v>43865</v>
      </c>
      <c r="N733" t="s">
        <v>52</v>
      </c>
      <c r="O733" t="s">
        <v>30</v>
      </c>
      <c r="P733">
        <v>1</v>
      </c>
      <c r="Q733" t="s">
        <v>53</v>
      </c>
      <c r="R733" t="s">
        <v>100</v>
      </c>
      <c r="S733">
        <v>2</v>
      </c>
      <c r="T733">
        <v>2020</v>
      </c>
      <c r="U733" t="s">
        <v>278</v>
      </c>
    </row>
    <row r="734" spans="1:21" x14ac:dyDescent="0.3">
      <c r="A734" t="s">
        <v>2257</v>
      </c>
      <c r="B734">
        <v>46</v>
      </c>
      <c r="C734" t="s">
        <v>47</v>
      </c>
      <c r="D734" t="s">
        <v>127</v>
      </c>
      <c r="E734" t="s">
        <v>115</v>
      </c>
      <c r="F734" s="1">
        <v>43651</v>
      </c>
      <c r="G734" t="s">
        <v>2258</v>
      </c>
      <c r="H734" t="s">
        <v>2259</v>
      </c>
      <c r="I734" t="s">
        <v>27</v>
      </c>
      <c r="J734">
        <v>18788.14</v>
      </c>
      <c r="K734">
        <v>267</v>
      </c>
      <c r="L734" t="s">
        <v>40</v>
      </c>
      <c r="M734" s="1">
        <v>43666</v>
      </c>
      <c r="N734" t="s">
        <v>99</v>
      </c>
      <c r="O734" t="s">
        <v>42</v>
      </c>
      <c r="P734">
        <v>15</v>
      </c>
      <c r="Q734" t="s">
        <v>68</v>
      </c>
      <c r="R734" t="s">
        <v>32</v>
      </c>
      <c r="S734">
        <v>7</v>
      </c>
      <c r="T734">
        <v>2019</v>
      </c>
      <c r="U734" t="s">
        <v>86</v>
      </c>
    </row>
    <row r="735" spans="1:21" x14ac:dyDescent="0.3">
      <c r="A735" t="s">
        <v>2260</v>
      </c>
      <c r="B735">
        <v>50</v>
      </c>
      <c r="C735" t="s">
        <v>22</v>
      </c>
      <c r="D735" t="s">
        <v>149</v>
      </c>
      <c r="E735" t="s">
        <v>70</v>
      </c>
      <c r="F735" s="1">
        <v>44513</v>
      </c>
      <c r="G735" t="s">
        <v>2261</v>
      </c>
      <c r="H735" t="s">
        <v>2262</v>
      </c>
      <c r="I735" t="s">
        <v>82</v>
      </c>
      <c r="J735">
        <v>39089.870000000003</v>
      </c>
      <c r="K735">
        <v>466</v>
      </c>
      <c r="L735" t="s">
        <v>28</v>
      </c>
      <c r="M735" s="1">
        <v>44523</v>
      </c>
      <c r="N735" t="s">
        <v>67</v>
      </c>
      <c r="O735" t="s">
        <v>61</v>
      </c>
      <c r="P735">
        <v>10</v>
      </c>
      <c r="Q735" t="s">
        <v>68</v>
      </c>
      <c r="R735" t="s">
        <v>44</v>
      </c>
      <c r="S735">
        <v>11</v>
      </c>
      <c r="T735">
        <v>2021</v>
      </c>
      <c r="U735" t="s">
        <v>62</v>
      </c>
    </row>
    <row r="736" spans="1:21" x14ac:dyDescent="0.3">
      <c r="A736" t="s">
        <v>2263</v>
      </c>
      <c r="B736">
        <v>61</v>
      </c>
      <c r="C736" t="s">
        <v>22</v>
      </c>
      <c r="D736" t="s">
        <v>127</v>
      </c>
      <c r="E736" t="s">
        <v>57</v>
      </c>
      <c r="F736" s="1">
        <v>43692</v>
      </c>
      <c r="G736" t="s">
        <v>2264</v>
      </c>
      <c r="H736" t="s">
        <v>2265</v>
      </c>
      <c r="I736" t="s">
        <v>27</v>
      </c>
      <c r="J736">
        <v>47594.47</v>
      </c>
      <c r="K736">
        <v>145</v>
      </c>
      <c r="L736" t="s">
        <v>60</v>
      </c>
      <c r="M736" s="1">
        <v>43717</v>
      </c>
      <c r="N736" t="s">
        <v>29</v>
      </c>
      <c r="O736" t="s">
        <v>61</v>
      </c>
      <c r="P736">
        <v>25</v>
      </c>
      <c r="Q736" t="s">
        <v>43</v>
      </c>
      <c r="R736" t="s">
        <v>44</v>
      </c>
      <c r="S736">
        <v>8</v>
      </c>
      <c r="T736">
        <v>2019</v>
      </c>
      <c r="U736" t="s">
        <v>45</v>
      </c>
    </row>
    <row r="737" spans="1:21" x14ac:dyDescent="0.3">
      <c r="A737" t="s">
        <v>2266</v>
      </c>
      <c r="B737">
        <v>40</v>
      </c>
      <c r="C737" t="s">
        <v>22</v>
      </c>
      <c r="D737" t="s">
        <v>56</v>
      </c>
      <c r="E737" t="s">
        <v>70</v>
      </c>
      <c r="F737" s="1">
        <v>45126</v>
      </c>
      <c r="G737" t="s">
        <v>2267</v>
      </c>
      <c r="H737" t="s">
        <v>2268</v>
      </c>
      <c r="I737" t="s">
        <v>51</v>
      </c>
      <c r="J737">
        <v>19261.509999999998</v>
      </c>
      <c r="K737">
        <v>203</v>
      </c>
      <c r="L737" t="s">
        <v>40</v>
      </c>
      <c r="M737" s="1">
        <v>45152</v>
      </c>
      <c r="N737" t="s">
        <v>29</v>
      </c>
      <c r="O737" t="s">
        <v>30</v>
      </c>
      <c r="P737">
        <v>26</v>
      </c>
      <c r="Q737" t="s">
        <v>68</v>
      </c>
      <c r="R737" t="s">
        <v>32</v>
      </c>
      <c r="S737">
        <v>7</v>
      </c>
      <c r="T737">
        <v>2023</v>
      </c>
      <c r="U737" t="s">
        <v>86</v>
      </c>
    </row>
    <row r="738" spans="1:21" x14ac:dyDescent="0.3">
      <c r="A738" t="s">
        <v>2269</v>
      </c>
      <c r="B738">
        <v>34</v>
      </c>
      <c r="C738" t="s">
        <v>22</v>
      </c>
      <c r="D738" t="s">
        <v>48</v>
      </c>
      <c r="E738" t="s">
        <v>57</v>
      </c>
      <c r="F738" s="1">
        <v>45022</v>
      </c>
      <c r="G738" t="s">
        <v>2270</v>
      </c>
      <c r="H738" t="s">
        <v>2271</v>
      </c>
      <c r="I738" t="s">
        <v>39</v>
      </c>
      <c r="J738">
        <v>6578.03</v>
      </c>
      <c r="K738">
        <v>162</v>
      </c>
      <c r="L738" t="s">
        <v>40</v>
      </c>
      <c r="M738" s="1">
        <v>45052</v>
      </c>
      <c r="N738" t="s">
        <v>41</v>
      </c>
      <c r="O738" t="s">
        <v>42</v>
      </c>
      <c r="P738">
        <v>30</v>
      </c>
      <c r="Q738" t="s">
        <v>31</v>
      </c>
      <c r="R738" t="s">
        <v>100</v>
      </c>
      <c r="S738">
        <v>4</v>
      </c>
      <c r="T738">
        <v>2023</v>
      </c>
      <c r="U738" t="s">
        <v>94</v>
      </c>
    </row>
    <row r="739" spans="1:21" x14ac:dyDescent="0.3">
      <c r="A739" t="s">
        <v>2272</v>
      </c>
      <c r="B739">
        <v>71</v>
      </c>
      <c r="C739" t="s">
        <v>47</v>
      </c>
      <c r="D739" t="s">
        <v>64</v>
      </c>
      <c r="E739" t="s">
        <v>115</v>
      </c>
      <c r="F739" s="1">
        <v>43746</v>
      </c>
      <c r="G739" t="s">
        <v>2273</v>
      </c>
      <c r="H739" t="s">
        <v>2274</v>
      </c>
      <c r="I739" t="s">
        <v>27</v>
      </c>
      <c r="J739">
        <v>38435.449999999997</v>
      </c>
      <c r="K739">
        <v>340</v>
      </c>
      <c r="L739" t="s">
        <v>60</v>
      </c>
      <c r="M739" s="1">
        <v>43766</v>
      </c>
      <c r="N739" t="s">
        <v>67</v>
      </c>
      <c r="O739" t="s">
        <v>61</v>
      </c>
      <c r="P739">
        <v>20</v>
      </c>
      <c r="Q739" t="s">
        <v>53</v>
      </c>
      <c r="R739" t="s">
        <v>44</v>
      </c>
      <c r="S739">
        <v>10</v>
      </c>
      <c r="T739">
        <v>2019</v>
      </c>
      <c r="U739" t="s">
        <v>110</v>
      </c>
    </row>
    <row r="740" spans="1:21" x14ac:dyDescent="0.3">
      <c r="A740" t="s">
        <v>2275</v>
      </c>
      <c r="B740">
        <v>61</v>
      </c>
      <c r="C740" t="s">
        <v>22</v>
      </c>
      <c r="D740" t="s">
        <v>35</v>
      </c>
      <c r="E740" t="s">
        <v>36</v>
      </c>
      <c r="F740" s="1">
        <v>44053</v>
      </c>
      <c r="G740" t="s">
        <v>2276</v>
      </c>
      <c r="H740" t="s">
        <v>2277</v>
      </c>
      <c r="I740" t="s">
        <v>51</v>
      </c>
      <c r="J740">
        <v>29810.05</v>
      </c>
      <c r="K740">
        <v>346</v>
      </c>
      <c r="L740" t="s">
        <v>40</v>
      </c>
      <c r="M740" s="1">
        <v>44080</v>
      </c>
      <c r="N740" t="s">
        <v>67</v>
      </c>
      <c r="O740" t="s">
        <v>30</v>
      </c>
      <c r="P740">
        <v>27</v>
      </c>
      <c r="Q740" t="s">
        <v>43</v>
      </c>
      <c r="R740" t="s">
        <v>32</v>
      </c>
      <c r="S740">
        <v>8</v>
      </c>
      <c r="T740">
        <v>2020</v>
      </c>
      <c r="U740" t="s">
        <v>45</v>
      </c>
    </row>
    <row r="741" spans="1:21" x14ac:dyDescent="0.3">
      <c r="A741" t="s">
        <v>2278</v>
      </c>
      <c r="B741">
        <v>24</v>
      </c>
      <c r="C741" t="s">
        <v>22</v>
      </c>
      <c r="D741" t="s">
        <v>35</v>
      </c>
      <c r="E741" t="s">
        <v>70</v>
      </c>
      <c r="F741" s="1">
        <v>43734</v>
      </c>
      <c r="G741" t="s">
        <v>2279</v>
      </c>
      <c r="H741" t="s">
        <v>2280</v>
      </c>
      <c r="I741" t="s">
        <v>27</v>
      </c>
      <c r="J741">
        <v>4808.82</v>
      </c>
      <c r="K741">
        <v>415</v>
      </c>
      <c r="L741" t="s">
        <v>40</v>
      </c>
      <c r="M741" s="1">
        <v>43752</v>
      </c>
      <c r="N741" t="s">
        <v>41</v>
      </c>
      <c r="O741" t="s">
        <v>30</v>
      </c>
      <c r="P741">
        <v>18</v>
      </c>
      <c r="Q741" t="s">
        <v>31</v>
      </c>
      <c r="R741" t="s">
        <v>100</v>
      </c>
      <c r="S741">
        <v>9</v>
      </c>
      <c r="T741">
        <v>2019</v>
      </c>
      <c r="U741" t="s">
        <v>54</v>
      </c>
    </row>
    <row r="742" spans="1:21" x14ac:dyDescent="0.3">
      <c r="A742" t="s">
        <v>2281</v>
      </c>
      <c r="B742">
        <v>28</v>
      </c>
      <c r="C742" t="s">
        <v>22</v>
      </c>
      <c r="D742" t="s">
        <v>56</v>
      </c>
      <c r="E742" t="s">
        <v>24</v>
      </c>
      <c r="F742" s="1">
        <v>44238</v>
      </c>
      <c r="G742" t="s">
        <v>2282</v>
      </c>
      <c r="H742" t="s">
        <v>2283</v>
      </c>
      <c r="I742" t="s">
        <v>82</v>
      </c>
      <c r="J742">
        <v>38365.870000000003</v>
      </c>
      <c r="K742">
        <v>183</v>
      </c>
      <c r="L742" t="s">
        <v>28</v>
      </c>
      <c r="M742" s="1">
        <v>44246</v>
      </c>
      <c r="N742" t="s">
        <v>99</v>
      </c>
      <c r="O742" t="s">
        <v>61</v>
      </c>
      <c r="P742">
        <v>8</v>
      </c>
      <c r="Q742" t="s">
        <v>31</v>
      </c>
      <c r="R742" t="s">
        <v>44</v>
      </c>
      <c r="S742">
        <v>2</v>
      </c>
      <c r="T742">
        <v>2021</v>
      </c>
      <c r="U742" t="s">
        <v>278</v>
      </c>
    </row>
    <row r="743" spans="1:21" x14ac:dyDescent="0.3">
      <c r="A743" t="s">
        <v>2284</v>
      </c>
      <c r="B743">
        <v>21</v>
      </c>
      <c r="C743" t="s">
        <v>47</v>
      </c>
      <c r="D743" t="s">
        <v>56</v>
      </c>
      <c r="E743" t="s">
        <v>115</v>
      </c>
      <c r="F743" s="1">
        <v>43713</v>
      </c>
      <c r="G743" t="s">
        <v>2285</v>
      </c>
      <c r="H743" t="s">
        <v>2286</v>
      </c>
      <c r="I743" t="s">
        <v>27</v>
      </c>
      <c r="J743">
        <v>45540.1</v>
      </c>
      <c r="K743">
        <v>394</v>
      </c>
      <c r="L743" t="s">
        <v>60</v>
      </c>
      <c r="M743" s="1">
        <v>43737</v>
      </c>
      <c r="N743" t="s">
        <v>99</v>
      </c>
      <c r="O743" t="s">
        <v>42</v>
      </c>
      <c r="P743">
        <v>24</v>
      </c>
      <c r="Q743" t="s">
        <v>31</v>
      </c>
      <c r="R743" t="s">
        <v>44</v>
      </c>
      <c r="S743">
        <v>9</v>
      </c>
      <c r="T743">
        <v>2019</v>
      </c>
      <c r="U743" t="s">
        <v>54</v>
      </c>
    </row>
    <row r="744" spans="1:21" x14ac:dyDescent="0.3">
      <c r="A744" t="s">
        <v>2287</v>
      </c>
      <c r="B744">
        <v>40</v>
      </c>
      <c r="C744" t="s">
        <v>47</v>
      </c>
      <c r="D744" t="s">
        <v>127</v>
      </c>
      <c r="E744" t="s">
        <v>70</v>
      </c>
      <c r="F744" s="1">
        <v>44256</v>
      </c>
      <c r="G744" t="s">
        <v>2288</v>
      </c>
      <c r="H744" t="s">
        <v>2289</v>
      </c>
      <c r="I744" t="s">
        <v>82</v>
      </c>
      <c r="J744">
        <v>31444.09</v>
      </c>
      <c r="K744">
        <v>124</v>
      </c>
      <c r="L744" t="s">
        <v>28</v>
      </c>
      <c r="M744" s="1">
        <v>44275</v>
      </c>
      <c r="N744" t="s">
        <v>67</v>
      </c>
      <c r="O744" t="s">
        <v>61</v>
      </c>
      <c r="P744">
        <v>19</v>
      </c>
      <c r="Q744" t="s">
        <v>68</v>
      </c>
      <c r="R744" t="s">
        <v>44</v>
      </c>
      <c r="S744">
        <v>3</v>
      </c>
      <c r="T744">
        <v>2021</v>
      </c>
      <c r="U744" t="s">
        <v>122</v>
      </c>
    </row>
    <row r="745" spans="1:21" x14ac:dyDescent="0.3">
      <c r="A745" t="s">
        <v>2290</v>
      </c>
      <c r="B745">
        <v>57</v>
      </c>
      <c r="C745" t="s">
        <v>22</v>
      </c>
      <c r="D745" t="s">
        <v>48</v>
      </c>
      <c r="E745" t="s">
        <v>24</v>
      </c>
      <c r="F745" s="1">
        <v>45401</v>
      </c>
      <c r="G745" t="s">
        <v>2291</v>
      </c>
      <c r="H745" t="s">
        <v>2292</v>
      </c>
      <c r="I745" t="s">
        <v>39</v>
      </c>
      <c r="J745">
        <v>37194.26</v>
      </c>
      <c r="K745">
        <v>278</v>
      </c>
      <c r="L745" t="s">
        <v>28</v>
      </c>
      <c r="M745" s="1">
        <v>45426</v>
      </c>
      <c r="N745" t="s">
        <v>41</v>
      </c>
      <c r="O745" t="s">
        <v>61</v>
      </c>
      <c r="P745">
        <v>25</v>
      </c>
      <c r="Q745" t="s">
        <v>43</v>
      </c>
      <c r="R745" t="s">
        <v>44</v>
      </c>
      <c r="S745">
        <v>4</v>
      </c>
      <c r="T745">
        <v>2024</v>
      </c>
      <c r="U745" t="s">
        <v>94</v>
      </c>
    </row>
    <row r="746" spans="1:21" x14ac:dyDescent="0.3">
      <c r="A746" t="s">
        <v>2293</v>
      </c>
      <c r="B746">
        <v>47</v>
      </c>
      <c r="C746" t="s">
        <v>47</v>
      </c>
      <c r="D746" t="s">
        <v>64</v>
      </c>
      <c r="E746" t="s">
        <v>24</v>
      </c>
      <c r="F746" s="1">
        <v>45043</v>
      </c>
      <c r="G746" t="s">
        <v>2294</v>
      </c>
      <c r="H746" t="s">
        <v>2295</v>
      </c>
      <c r="I746" t="s">
        <v>27</v>
      </c>
      <c r="J746">
        <v>12422.76</v>
      </c>
      <c r="K746">
        <v>355</v>
      </c>
      <c r="L746" t="s">
        <v>60</v>
      </c>
      <c r="M746" s="1">
        <v>45049</v>
      </c>
      <c r="N746" t="s">
        <v>99</v>
      </c>
      <c r="O746" t="s">
        <v>30</v>
      </c>
      <c r="P746">
        <v>6</v>
      </c>
      <c r="Q746" t="s">
        <v>68</v>
      </c>
      <c r="R746" t="s">
        <v>32</v>
      </c>
      <c r="S746">
        <v>4</v>
      </c>
      <c r="T746">
        <v>2023</v>
      </c>
      <c r="U746" t="s">
        <v>94</v>
      </c>
    </row>
    <row r="747" spans="1:21" x14ac:dyDescent="0.3">
      <c r="A747" t="s">
        <v>2296</v>
      </c>
      <c r="B747">
        <v>59</v>
      </c>
      <c r="C747" t="s">
        <v>22</v>
      </c>
      <c r="D747" t="s">
        <v>56</v>
      </c>
      <c r="E747" t="s">
        <v>24</v>
      </c>
      <c r="F747" s="1">
        <v>44748</v>
      </c>
      <c r="G747" t="s">
        <v>2297</v>
      </c>
      <c r="H747" t="s">
        <v>2298</v>
      </c>
      <c r="I747" t="s">
        <v>51</v>
      </c>
      <c r="J747">
        <v>8024.41</v>
      </c>
      <c r="K747">
        <v>451</v>
      </c>
      <c r="L747" t="s">
        <v>60</v>
      </c>
      <c r="M747" s="1">
        <v>44768</v>
      </c>
      <c r="N747" t="s">
        <v>52</v>
      </c>
      <c r="O747" t="s">
        <v>42</v>
      </c>
      <c r="P747">
        <v>20</v>
      </c>
      <c r="Q747" t="s">
        <v>43</v>
      </c>
      <c r="R747" t="s">
        <v>100</v>
      </c>
      <c r="S747">
        <v>7</v>
      </c>
      <c r="T747">
        <v>2022</v>
      </c>
      <c r="U747" t="s">
        <v>86</v>
      </c>
    </row>
    <row r="748" spans="1:21" x14ac:dyDescent="0.3">
      <c r="A748" t="s">
        <v>2299</v>
      </c>
      <c r="B748">
        <v>33</v>
      </c>
      <c r="C748" t="s">
        <v>47</v>
      </c>
      <c r="D748" t="s">
        <v>149</v>
      </c>
      <c r="E748" t="s">
        <v>115</v>
      </c>
      <c r="F748" s="1">
        <v>44135</v>
      </c>
      <c r="G748" t="s">
        <v>2300</v>
      </c>
      <c r="H748" t="s">
        <v>2301</v>
      </c>
      <c r="I748" t="s">
        <v>27</v>
      </c>
      <c r="J748">
        <v>13034.08</v>
      </c>
      <c r="K748">
        <v>300</v>
      </c>
      <c r="L748" t="s">
        <v>28</v>
      </c>
      <c r="M748" s="1">
        <v>44153</v>
      </c>
      <c r="N748" t="s">
        <v>67</v>
      </c>
      <c r="O748" t="s">
        <v>30</v>
      </c>
      <c r="P748">
        <v>18</v>
      </c>
      <c r="Q748" t="s">
        <v>31</v>
      </c>
      <c r="R748" t="s">
        <v>32</v>
      </c>
      <c r="S748">
        <v>10</v>
      </c>
      <c r="T748">
        <v>2020</v>
      </c>
      <c r="U748" t="s">
        <v>110</v>
      </c>
    </row>
    <row r="749" spans="1:21" x14ac:dyDescent="0.3">
      <c r="A749" t="s">
        <v>2302</v>
      </c>
      <c r="B749">
        <v>58</v>
      </c>
      <c r="C749" t="s">
        <v>47</v>
      </c>
      <c r="D749" t="s">
        <v>23</v>
      </c>
      <c r="E749" t="s">
        <v>24</v>
      </c>
      <c r="F749" s="1">
        <v>45177</v>
      </c>
      <c r="G749" t="s">
        <v>2303</v>
      </c>
      <c r="H749" t="s">
        <v>2304</v>
      </c>
      <c r="I749" t="s">
        <v>82</v>
      </c>
      <c r="J749">
        <v>37903.29</v>
      </c>
      <c r="K749">
        <v>421</v>
      </c>
      <c r="L749" t="s">
        <v>60</v>
      </c>
      <c r="M749" s="1">
        <v>45191</v>
      </c>
      <c r="N749" t="s">
        <v>99</v>
      </c>
      <c r="O749" t="s">
        <v>30</v>
      </c>
      <c r="P749">
        <v>14</v>
      </c>
      <c r="Q749" t="s">
        <v>43</v>
      </c>
      <c r="R749" t="s">
        <v>44</v>
      </c>
      <c r="S749">
        <v>9</v>
      </c>
      <c r="T749">
        <v>2023</v>
      </c>
      <c r="U749" t="s">
        <v>54</v>
      </c>
    </row>
    <row r="750" spans="1:21" x14ac:dyDescent="0.3">
      <c r="A750" t="s">
        <v>2305</v>
      </c>
      <c r="B750">
        <v>39</v>
      </c>
      <c r="C750" t="s">
        <v>47</v>
      </c>
      <c r="D750" t="s">
        <v>149</v>
      </c>
      <c r="E750" t="s">
        <v>24</v>
      </c>
      <c r="F750" s="1">
        <v>44885</v>
      </c>
      <c r="G750" t="s">
        <v>2306</v>
      </c>
      <c r="H750" t="s">
        <v>2307</v>
      </c>
      <c r="I750" t="s">
        <v>27</v>
      </c>
      <c r="J750">
        <v>45913.17</v>
      </c>
      <c r="K750">
        <v>398</v>
      </c>
      <c r="L750" t="s">
        <v>40</v>
      </c>
      <c r="M750" s="1">
        <v>44914</v>
      </c>
      <c r="N750" t="s">
        <v>29</v>
      </c>
      <c r="O750" t="s">
        <v>61</v>
      </c>
      <c r="P750">
        <v>29</v>
      </c>
      <c r="Q750" t="s">
        <v>68</v>
      </c>
      <c r="R750" t="s">
        <v>44</v>
      </c>
      <c r="S750">
        <v>11</v>
      </c>
      <c r="T750">
        <v>2022</v>
      </c>
      <c r="U750" t="s">
        <v>62</v>
      </c>
    </row>
    <row r="751" spans="1:21" x14ac:dyDescent="0.3">
      <c r="A751" t="s">
        <v>2308</v>
      </c>
      <c r="B751">
        <v>30</v>
      </c>
      <c r="C751" t="s">
        <v>22</v>
      </c>
      <c r="D751" t="s">
        <v>149</v>
      </c>
      <c r="E751" t="s">
        <v>115</v>
      </c>
      <c r="F751" s="1">
        <v>44016</v>
      </c>
      <c r="G751" t="s">
        <v>2309</v>
      </c>
      <c r="H751" t="s">
        <v>2310</v>
      </c>
      <c r="I751" t="s">
        <v>73</v>
      </c>
      <c r="J751">
        <v>30468.26</v>
      </c>
      <c r="K751">
        <v>378</v>
      </c>
      <c r="L751" t="s">
        <v>40</v>
      </c>
      <c r="M751" s="1">
        <v>44045</v>
      </c>
      <c r="N751" t="s">
        <v>99</v>
      </c>
      <c r="O751" t="s">
        <v>30</v>
      </c>
      <c r="P751">
        <v>29</v>
      </c>
      <c r="Q751" t="s">
        <v>31</v>
      </c>
      <c r="R751" t="s">
        <v>44</v>
      </c>
      <c r="S751">
        <v>7</v>
      </c>
      <c r="T751">
        <v>2020</v>
      </c>
      <c r="U751" t="s">
        <v>86</v>
      </c>
    </row>
    <row r="752" spans="1:21" x14ac:dyDescent="0.3">
      <c r="A752" t="s">
        <v>2311</v>
      </c>
      <c r="B752">
        <v>27</v>
      </c>
      <c r="C752" t="s">
        <v>22</v>
      </c>
      <c r="D752" t="s">
        <v>127</v>
      </c>
      <c r="E752" t="s">
        <v>70</v>
      </c>
      <c r="F752" s="1">
        <v>45101</v>
      </c>
      <c r="G752" t="s">
        <v>2312</v>
      </c>
      <c r="H752" t="s">
        <v>2313</v>
      </c>
      <c r="I752" t="s">
        <v>27</v>
      </c>
      <c r="J752">
        <v>50202.21</v>
      </c>
      <c r="K752">
        <v>198</v>
      </c>
      <c r="L752" t="s">
        <v>28</v>
      </c>
      <c r="M752" s="1">
        <v>45120</v>
      </c>
      <c r="N752" t="s">
        <v>52</v>
      </c>
      <c r="O752" t="s">
        <v>61</v>
      </c>
      <c r="P752">
        <v>19</v>
      </c>
      <c r="Q752" t="s">
        <v>31</v>
      </c>
      <c r="R752" t="s">
        <v>44</v>
      </c>
      <c r="S752">
        <v>6</v>
      </c>
      <c r="T752">
        <v>2023</v>
      </c>
      <c r="U752" t="s">
        <v>118</v>
      </c>
    </row>
    <row r="753" spans="1:21" x14ac:dyDescent="0.3">
      <c r="A753" t="s">
        <v>2314</v>
      </c>
      <c r="B753">
        <v>39</v>
      </c>
      <c r="C753" t="s">
        <v>47</v>
      </c>
      <c r="D753" t="s">
        <v>149</v>
      </c>
      <c r="E753" t="s">
        <v>96</v>
      </c>
      <c r="F753" s="1">
        <v>44110</v>
      </c>
      <c r="G753" t="s">
        <v>2315</v>
      </c>
      <c r="H753" t="s">
        <v>2316</v>
      </c>
      <c r="I753" t="s">
        <v>82</v>
      </c>
      <c r="J753">
        <v>2104.38</v>
      </c>
      <c r="K753">
        <v>260</v>
      </c>
      <c r="L753" t="s">
        <v>60</v>
      </c>
      <c r="M753" s="1">
        <v>44118</v>
      </c>
      <c r="N753" t="s">
        <v>67</v>
      </c>
      <c r="O753" t="s">
        <v>30</v>
      </c>
      <c r="P753">
        <v>8</v>
      </c>
      <c r="Q753" t="s">
        <v>68</v>
      </c>
      <c r="R753" t="s">
        <v>100</v>
      </c>
      <c r="S753">
        <v>10</v>
      </c>
      <c r="T753">
        <v>2020</v>
      </c>
      <c r="U753" t="s">
        <v>110</v>
      </c>
    </row>
    <row r="754" spans="1:21" x14ac:dyDescent="0.3">
      <c r="A754" t="s">
        <v>2317</v>
      </c>
      <c r="B754">
        <v>76</v>
      </c>
      <c r="C754" t="s">
        <v>47</v>
      </c>
      <c r="D754" t="s">
        <v>127</v>
      </c>
      <c r="E754" t="s">
        <v>24</v>
      </c>
      <c r="F754" s="1">
        <v>45001</v>
      </c>
      <c r="G754" t="s">
        <v>2318</v>
      </c>
      <c r="H754" t="s">
        <v>1769</v>
      </c>
      <c r="I754" t="s">
        <v>51</v>
      </c>
      <c r="J754">
        <v>43206.22</v>
      </c>
      <c r="K754">
        <v>441</v>
      </c>
      <c r="L754" t="s">
        <v>40</v>
      </c>
      <c r="M754" s="1">
        <v>45018</v>
      </c>
      <c r="N754" t="s">
        <v>52</v>
      </c>
      <c r="O754" t="s">
        <v>42</v>
      </c>
      <c r="P754">
        <v>17</v>
      </c>
      <c r="Q754" t="s">
        <v>53</v>
      </c>
      <c r="R754" t="s">
        <v>44</v>
      </c>
      <c r="S754">
        <v>3</v>
      </c>
      <c r="T754">
        <v>2023</v>
      </c>
      <c r="U754" t="s">
        <v>122</v>
      </c>
    </row>
    <row r="755" spans="1:21" x14ac:dyDescent="0.3">
      <c r="A755" t="s">
        <v>2319</v>
      </c>
      <c r="B755">
        <v>62</v>
      </c>
      <c r="C755" t="s">
        <v>22</v>
      </c>
      <c r="D755" t="s">
        <v>149</v>
      </c>
      <c r="E755" t="s">
        <v>115</v>
      </c>
      <c r="F755" s="1">
        <v>43724</v>
      </c>
      <c r="G755" t="s">
        <v>2320</v>
      </c>
      <c r="H755" t="s">
        <v>2277</v>
      </c>
      <c r="I755" t="s">
        <v>27</v>
      </c>
      <c r="J755">
        <v>10622.28</v>
      </c>
      <c r="K755">
        <v>199</v>
      </c>
      <c r="L755" t="s">
        <v>28</v>
      </c>
      <c r="M755" s="1">
        <v>43729</v>
      </c>
      <c r="N755" t="s">
        <v>99</v>
      </c>
      <c r="O755" t="s">
        <v>61</v>
      </c>
      <c r="P755">
        <v>5</v>
      </c>
      <c r="Q755" t="s">
        <v>43</v>
      </c>
      <c r="R755" t="s">
        <v>32</v>
      </c>
      <c r="S755">
        <v>9</v>
      </c>
      <c r="T755">
        <v>2019</v>
      </c>
      <c r="U755" t="s">
        <v>54</v>
      </c>
    </row>
    <row r="756" spans="1:21" x14ac:dyDescent="0.3">
      <c r="A756" t="s">
        <v>2321</v>
      </c>
      <c r="B756">
        <v>71</v>
      </c>
      <c r="C756" t="s">
        <v>22</v>
      </c>
      <c r="D756" t="s">
        <v>149</v>
      </c>
      <c r="E756" t="s">
        <v>70</v>
      </c>
      <c r="F756" s="1">
        <v>44296</v>
      </c>
      <c r="G756" t="s">
        <v>2322</v>
      </c>
      <c r="H756" t="s">
        <v>2323</v>
      </c>
      <c r="I756" t="s">
        <v>39</v>
      </c>
      <c r="J756">
        <v>10659.61</v>
      </c>
      <c r="K756">
        <v>170</v>
      </c>
      <c r="L756" t="s">
        <v>60</v>
      </c>
      <c r="M756" s="1">
        <v>44304</v>
      </c>
      <c r="N756" t="s">
        <v>41</v>
      </c>
      <c r="O756" t="s">
        <v>61</v>
      </c>
      <c r="P756">
        <v>8</v>
      </c>
      <c r="Q756" t="s">
        <v>53</v>
      </c>
      <c r="R756" t="s">
        <v>32</v>
      </c>
      <c r="S756">
        <v>4</v>
      </c>
      <c r="T756">
        <v>2021</v>
      </c>
      <c r="U756" t="s">
        <v>94</v>
      </c>
    </row>
    <row r="757" spans="1:21" x14ac:dyDescent="0.3">
      <c r="A757" t="s">
        <v>2324</v>
      </c>
      <c r="B757">
        <v>67</v>
      </c>
      <c r="C757" t="s">
        <v>22</v>
      </c>
      <c r="D757" t="s">
        <v>23</v>
      </c>
      <c r="E757" t="s">
        <v>57</v>
      </c>
      <c r="F757" s="1">
        <v>43667</v>
      </c>
      <c r="G757" t="s">
        <v>2325</v>
      </c>
      <c r="H757" t="s">
        <v>2326</v>
      </c>
      <c r="I757" t="s">
        <v>82</v>
      </c>
      <c r="J757">
        <v>10919.11</v>
      </c>
      <c r="K757">
        <v>288</v>
      </c>
      <c r="L757" t="s">
        <v>60</v>
      </c>
      <c r="M757" s="1">
        <v>43694</v>
      </c>
      <c r="N757" t="s">
        <v>67</v>
      </c>
      <c r="O757" t="s">
        <v>30</v>
      </c>
      <c r="P757">
        <v>27</v>
      </c>
      <c r="Q757" t="s">
        <v>43</v>
      </c>
      <c r="R757" t="s">
        <v>32</v>
      </c>
      <c r="S757">
        <v>7</v>
      </c>
      <c r="T757">
        <v>2019</v>
      </c>
      <c r="U757" t="s">
        <v>86</v>
      </c>
    </row>
    <row r="758" spans="1:21" x14ac:dyDescent="0.3">
      <c r="A758" t="s">
        <v>2327</v>
      </c>
      <c r="B758">
        <v>34</v>
      </c>
      <c r="C758" t="s">
        <v>47</v>
      </c>
      <c r="D758" t="s">
        <v>35</v>
      </c>
      <c r="E758" t="s">
        <v>24</v>
      </c>
      <c r="F758" s="1">
        <v>44544</v>
      </c>
      <c r="G758" t="s">
        <v>2328</v>
      </c>
      <c r="H758" t="s">
        <v>2329</v>
      </c>
      <c r="I758" t="s">
        <v>39</v>
      </c>
      <c r="J758">
        <v>8407.49</v>
      </c>
      <c r="K758">
        <v>425</v>
      </c>
      <c r="L758" t="s">
        <v>28</v>
      </c>
      <c r="M758" s="1">
        <v>44551</v>
      </c>
      <c r="N758" t="s">
        <v>41</v>
      </c>
      <c r="O758" t="s">
        <v>61</v>
      </c>
      <c r="P758">
        <v>7</v>
      </c>
      <c r="Q758" t="s">
        <v>31</v>
      </c>
      <c r="R758" t="s">
        <v>100</v>
      </c>
      <c r="S758">
        <v>12</v>
      </c>
      <c r="T758">
        <v>2021</v>
      </c>
      <c r="U758" t="s">
        <v>74</v>
      </c>
    </row>
    <row r="759" spans="1:21" x14ac:dyDescent="0.3">
      <c r="A759" t="s">
        <v>2330</v>
      </c>
      <c r="B759">
        <v>31</v>
      </c>
      <c r="C759" t="s">
        <v>22</v>
      </c>
      <c r="D759" t="s">
        <v>149</v>
      </c>
      <c r="E759" t="s">
        <v>24</v>
      </c>
      <c r="F759" s="1">
        <v>45188</v>
      </c>
      <c r="G759" t="s">
        <v>2331</v>
      </c>
      <c r="H759" t="s">
        <v>2332</v>
      </c>
      <c r="I759" t="s">
        <v>51</v>
      </c>
      <c r="J759">
        <v>32926.230000000003</v>
      </c>
      <c r="K759">
        <v>459</v>
      </c>
      <c r="L759" t="s">
        <v>40</v>
      </c>
      <c r="M759" s="1">
        <v>45215</v>
      </c>
      <c r="N759" t="s">
        <v>99</v>
      </c>
      <c r="O759" t="s">
        <v>42</v>
      </c>
      <c r="P759">
        <v>27</v>
      </c>
      <c r="Q759" t="s">
        <v>31</v>
      </c>
      <c r="R759" t="s">
        <v>44</v>
      </c>
      <c r="S759">
        <v>9</v>
      </c>
      <c r="T759">
        <v>2023</v>
      </c>
      <c r="U759" t="s">
        <v>54</v>
      </c>
    </row>
    <row r="760" spans="1:21" x14ac:dyDescent="0.3">
      <c r="A760" t="s">
        <v>2333</v>
      </c>
      <c r="B760">
        <v>25</v>
      </c>
      <c r="C760" t="s">
        <v>22</v>
      </c>
      <c r="D760" t="s">
        <v>48</v>
      </c>
      <c r="E760" t="s">
        <v>24</v>
      </c>
      <c r="F760" s="1">
        <v>45318</v>
      </c>
      <c r="G760" t="s">
        <v>2334</v>
      </c>
      <c r="H760" t="s">
        <v>2335</v>
      </c>
      <c r="I760" t="s">
        <v>51</v>
      </c>
      <c r="J760">
        <v>48004.97</v>
      </c>
      <c r="K760">
        <v>416</v>
      </c>
      <c r="L760" t="s">
        <v>40</v>
      </c>
      <c r="M760" s="1">
        <v>45348</v>
      </c>
      <c r="N760" t="s">
        <v>29</v>
      </c>
      <c r="O760" t="s">
        <v>30</v>
      </c>
      <c r="P760">
        <v>30</v>
      </c>
      <c r="Q760" t="s">
        <v>31</v>
      </c>
      <c r="R760" t="s">
        <v>44</v>
      </c>
      <c r="S760">
        <v>1</v>
      </c>
      <c r="T760">
        <v>2024</v>
      </c>
      <c r="U760" t="s">
        <v>33</v>
      </c>
    </row>
    <row r="761" spans="1:21" x14ac:dyDescent="0.3">
      <c r="A761" t="s">
        <v>2336</v>
      </c>
      <c r="B761">
        <v>33</v>
      </c>
      <c r="C761" t="s">
        <v>47</v>
      </c>
      <c r="D761" t="s">
        <v>149</v>
      </c>
      <c r="E761" t="s">
        <v>115</v>
      </c>
      <c r="F761" s="1">
        <v>43924</v>
      </c>
      <c r="G761" t="s">
        <v>2337</v>
      </c>
      <c r="H761" t="s">
        <v>2338</v>
      </c>
      <c r="I761" t="s">
        <v>82</v>
      </c>
      <c r="J761">
        <v>28452.78</v>
      </c>
      <c r="K761">
        <v>180</v>
      </c>
      <c r="L761" t="s">
        <v>60</v>
      </c>
      <c r="M761" s="1">
        <v>43954</v>
      </c>
      <c r="N761" t="s">
        <v>52</v>
      </c>
      <c r="O761" t="s">
        <v>42</v>
      </c>
      <c r="P761">
        <v>30</v>
      </c>
      <c r="Q761" t="s">
        <v>31</v>
      </c>
      <c r="R761" t="s">
        <v>32</v>
      </c>
      <c r="S761">
        <v>4</v>
      </c>
      <c r="T761">
        <v>2020</v>
      </c>
      <c r="U761" t="s">
        <v>94</v>
      </c>
    </row>
    <row r="762" spans="1:21" x14ac:dyDescent="0.3">
      <c r="A762" t="s">
        <v>2339</v>
      </c>
      <c r="B762">
        <v>61</v>
      </c>
      <c r="C762" t="s">
        <v>47</v>
      </c>
      <c r="D762" t="s">
        <v>64</v>
      </c>
      <c r="E762" t="s">
        <v>96</v>
      </c>
      <c r="F762" s="1">
        <v>43937</v>
      </c>
      <c r="G762" t="s">
        <v>2340</v>
      </c>
      <c r="H762" t="s">
        <v>2341</v>
      </c>
      <c r="I762" t="s">
        <v>39</v>
      </c>
      <c r="J762">
        <v>20651.61</v>
      </c>
      <c r="K762">
        <v>470</v>
      </c>
      <c r="L762" t="s">
        <v>28</v>
      </c>
      <c r="M762" s="1">
        <v>43943</v>
      </c>
      <c r="N762" t="s">
        <v>52</v>
      </c>
      <c r="O762" t="s">
        <v>61</v>
      </c>
      <c r="P762">
        <v>6</v>
      </c>
      <c r="Q762" t="s">
        <v>43</v>
      </c>
      <c r="R762" t="s">
        <v>32</v>
      </c>
      <c r="S762">
        <v>4</v>
      </c>
      <c r="T762">
        <v>2020</v>
      </c>
      <c r="U762" t="s">
        <v>94</v>
      </c>
    </row>
    <row r="763" spans="1:21" x14ac:dyDescent="0.3">
      <c r="A763" t="s">
        <v>2342</v>
      </c>
      <c r="B763">
        <v>42</v>
      </c>
      <c r="C763" t="s">
        <v>47</v>
      </c>
      <c r="D763" t="s">
        <v>56</v>
      </c>
      <c r="E763" t="s">
        <v>96</v>
      </c>
      <c r="F763" s="1">
        <v>43700</v>
      </c>
      <c r="G763" t="s">
        <v>2343</v>
      </c>
      <c r="H763" t="s">
        <v>2344</v>
      </c>
      <c r="I763" t="s">
        <v>82</v>
      </c>
      <c r="J763">
        <v>31822.73</v>
      </c>
      <c r="K763">
        <v>370</v>
      </c>
      <c r="L763" t="s">
        <v>40</v>
      </c>
      <c r="M763" s="1">
        <v>43713</v>
      </c>
      <c r="N763" t="s">
        <v>99</v>
      </c>
      <c r="O763" t="s">
        <v>61</v>
      </c>
      <c r="P763">
        <v>13</v>
      </c>
      <c r="Q763" t="s">
        <v>68</v>
      </c>
      <c r="R763" t="s">
        <v>44</v>
      </c>
      <c r="S763">
        <v>8</v>
      </c>
      <c r="T763">
        <v>2019</v>
      </c>
      <c r="U763" t="s">
        <v>45</v>
      </c>
    </row>
    <row r="764" spans="1:21" x14ac:dyDescent="0.3">
      <c r="A764" t="s">
        <v>2345</v>
      </c>
      <c r="B764">
        <v>44</v>
      </c>
      <c r="C764" t="s">
        <v>22</v>
      </c>
      <c r="D764" t="s">
        <v>76</v>
      </c>
      <c r="E764" t="s">
        <v>57</v>
      </c>
      <c r="F764" s="1">
        <v>44378</v>
      </c>
      <c r="G764" t="s">
        <v>2346</v>
      </c>
      <c r="H764" t="s">
        <v>2347</v>
      </c>
      <c r="I764" t="s">
        <v>73</v>
      </c>
      <c r="J764">
        <v>21856.74</v>
      </c>
      <c r="K764">
        <v>482</v>
      </c>
      <c r="L764" t="s">
        <v>60</v>
      </c>
      <c r="M764" s="1">
        <v>44400</v>
      </c>
      <c r="N764" t="s">
        <v>29</v>
      </c>
      <c r="O764" t="s">
        <v>42</v>
      </c>
      <c r="P764">
        <v>22</v>
      </c>
      <c r="Q764" t="s">
        <v>68</v>
      </c>
      <c r="R764" t="s">
        <v>32</v>
      </c>
      <c r="S764">
        <v>7</v>
      </c>
      <c r="T764">
        <v>2021</v>
      </c>
      <c r="U764" t="s">
        <v>86</v>
      </c>
    </row>
    <row r="765" spans="1:21" x14ac:dyDescent="0.3">
      <c r="A765" t="s">
        <v>2348</v>
      </c>
      <c r="B765">
        <v>18</v>
      </c>
      <c r="C765" t="s">
        <v>47</v>
      </c>
      <c r="D765" t="s">
        <v>127</v>
      </c>
      <c r="E765" t="s">
        <v>36</v>
      </c>
      <c r="F765" s="1">
        <v>44794</v>
      </c>
      <c r="G765" t="s">
        <v>1040</v>
      </c>
      <c r="H765" t="s">
        <v>2349</v>
      </c>
      <c r="I765" t="s">
        <v>39</v>
      </c>
      <c r="J765">
        <v>45326.91</v>
      </c>
      <c r="K765">
        <v>260</v>
      </c>
      <c r="L765" t="s">
        <v>40</v>
      </c>
      <c r="M765" s="1">
        <v>44808</v>
      </c>
      <c r="N765" t="s">
        <v>41</v>
      </c>
      <c r="O765" t="s">
        <v>61</v>
      </c>
      <c r="P765">
        <v>14</v>
      </c>
      <c r="Q765" t="s">
        <v>31</v>
      </c>
      <c r="R765" t="s">
        <v>44</v>
      </c>
      <c r="S765">
        <v>8</v>
      </c>
      <c r="T765">
        <v>2022</v>
      </c>
      <c r="U765" t="s">
        <v>45</v>
      </c>
    </row>
    <row r="766" spans="1:21" x14ac:dyDescent="0.3">
      <c r="A766" t="s">
        <v>2350</v>
      </c>
      <c r="B766">
        <v>51</v>
      </c>
      <c r="C766" t="s">
        <v>22</v>
      </c>
      <c r="D766" t="s">
        <v>48</v>
      </c>
      <c r="E766" t="s">
        <v>24</v>
      </c>
      <c r="F766" s="1">
        <v>44049</v>
      </c>
      <c r="G766" t="s">
        <v>2351</v>
      </c>
      <c r="H766" t="s">
        <v>2352</v>
      </c>
      <c r="I766" t="s">
        <v>73</v>
      </c>
      <c r="J766">
        <v>25152.29</v>
      </c>
      <c r="K766">
        <v>103</v>
      </c>
      <c r="L766" t="s">
        <v>40</v>
      </c>
      <c r="M766" s="1">
        <v>44069</v>
      </c>
      <c r="N766" t="s">
        <v>99</v>
      </c>
      <c r="O766" t="s">
        <v>61</v>
      </c>
      <c r="P766">
        <v>20</v>
      </c>
      <c r="Q766" t="s">
        <v>68</v>
      </c>
      <c r="R766" t="s">
        <v>32</v>
      </c>
      <c r="S766">
        <v>8</v>
      </c>
      <c r="T766">
        <v>2020</v>
      </c>
      <c r="U766" t="s">
        <v>45</v>
      </c>
    </row>
    <row r="767" spans="1:21" x14ac:dyDescent="0.3">
      <c r="A767" t="s">
        <v>2353</v>
      </c>
      <c r="B767">
        <v>26</v>
      </c>
      <c r="C767" t="s">
        <v>47</v>
      </c>
      <c r="D767" t="s">
        <v>64</v>
      </c>
      <c r="E767" t="s">
        <v>57</v>
      </c>
      <c r="F767" s="1">
        <v>44577</v>
      </c>
      <c r="G767" t="s">
        <v>2354</v>
      </c>
      <c r="H767" t="s">
        <v>2355</v>
      </c>
      <c r="I767" t="s">
        <v>82</v>
      </c>
      <c r="J767">
        <v>37544.800000000003</v>
      </c>
      <c r="K767">
        <v>430</v>
      </c>
      <c r="L767" t="s">
        <v>60</v>
      </c>
      <c r="M767" s="1">
        <v>44602</v>
      </c>
      <c r="N767" t="s">
        <v>99</v>
      </c>
      <c r="O767" t="s">
        <v>42</v>
      </c>
      <c r="P767">
        <v>25</v>
      </c>
      <c r="Q767" t="s">
        <v>31</v>
      </c>
      <c r="R767" t="s">
        <v>44</v>
      </c>
      <c r="S767">
        <v>1</v>
      </c>
      <c r="T767">
        <v>2022</v>
      </c>
      <c r="U767" t="s">
        <v>33</v>
      </c>
    </row>
    <row r="768" spans="1:21" x14ac:dyDescent="0.3">
      <c r="A768" t="s">
        <v>2356</v>
      </c>
      <c r="B768">
        <v>44</v>
      </c>
      <c r="C768" t="s">
        <v>22</v>
      </c>
      <c r="D768" t="s">
        <v>149</v>
      </c>
      <c r="E768" t="s">
        <v>57</v>
      </c>
      <c r="F768" s="1">
        <v>44410</v>
      </c>
      <c r="G768" t="s">
        <v>2357</v>
      </c>
      <c r="H768" t="s">
        <v>2358</v>
      </c>
      <c r="I768" t="s">
        <v>73</v>
      </c>
      <c r="J768">
        <v>35487.51</v>
      </c>
      <c r="K768">
        <v>190</v>
      </c>
      <c r="L768" t="s">
        <v>28</v>
      </c>
      <c r="M768" s="1">
        <v>44412</v>
      </c>
      <c r="N768" t="s">
        <v>67</v>
      </c>
      <c r="O768" t="s">
        <v>61</v>
      </c>
      <c r="P768">
        <v>2</v>
      </c>
      <c r="Q768" t="s">
        <v>68</v>
      </c>
      <c r="R768" t="s">
        <v>44</v>
      </c>
      <c r="S768">
        <v>8</v>
      </c>
      <c r="T768">
        <v>2021</v>
      </c>
      <c r="U768" t="s">
        <v>45</v>
      </c>
    </row>
    <row r="769" spans="1:21" x14ac:dyDescent="0.3">
      <c r="A769" t="s">
        <v>2359</v>
      </c>
      <c r="B769">
        <v>56</v>
      </c>
      <c r="C769" t="s">
        <v>47</v>
      </c>
      <c r="D769" t="s">
        <v>64</v>
      </c>
      <c r="E769" t="s">
        <v>36</v>
      </c>
      <c r="F769" s="1">
        <v>43907</v>
      </c>
      <c r="G769" t="s">
        <v>2360</v>
      </c>
      <c r="H769" t="s">
        <v>2361</v>
      </c>
      <c r="I769" t="s">
        <v>27</v>
      </c>
      <c r="J769">
        <v>2076.33</v>
      </c>
      <c r="K769">
        <v>265</v>
      </c>
      <c r="L769" t="s">
        <v>40</v>
      </c>
      <c r="M769" s="1">
        <v>43934</v>
      </c>
      <c r="N769" t="s">
        <v>52</v>
      </c>
      <c r="O769" t="s">
        <v>42</v>
      </c>
      <c r="P769">
        <v>27</v>
      </c>
      <c r="Q769" t="s">
        <v>43</v>
      </c>
      <c r="R769" t="s">
        <v>100</v>
      </c>
      <c r="S769">
        <v>3</v>
      </c>
      <c r="T769">
        <v>2020</v>
      </c>
      <c r="U769" t="s">
        <v>122</v>
      </c>
    </row>
    <row r="770" spans="1:21" x14ac:dyDescent="0.3">
      <c r="A770" t="s">
        <v>2362</v>
      </c>
      <c r="B770">
        <v>24</v>
      </c>
      <c r="C770" t="s">
        <v>22</v>
      </c>
      <c r="D770" t="s">
        <v>64</v>
      </c>
      <c r="E770" t="s">
        <v>36</v>
      </c>
      <c r="F770" s="1">
        <v>44035</v>
      </c>
      <c r="G770" t="s">
        <v>2363</v>
      </c>
      <c r="H770" t="s">
        <v>2364</v>
      </c>
      <c r="I770" t="s">
        <v>39</v>
      </c>
      <c r="J770">
        <v>35312.300000000003</v>
      </c>
      <c r="K770">
        <v>314</v>
      </c>
      <c r="L770" t="s">
        <v>40</v>
      </c>
      <c r="M770" s="1">
        <v>44046</v>
      </c>
      <c r="N770" t="s">
        <v>67</v>
      </c>
      <c r="O770" t="s">
        <v>30</v>
      </c>
      <c r="P770">
        <v>11</v>
      </c>
      <c r="Q770" t="s">
        <v>31</v>
      </c>
      <c r="R770" t="s">
        <v>44</v>
      </c>
      <c r="S770">
        <v>7</v>
      </c>
      <c r="T770">
        <v>2020</v>
      </c>
      <c r="U770" t="s">
        <v>86</v>
      </c>
    </row>
    <row r="771" spans="1:21" x14ac:dyDescent="0.3">
      <c r="A771" t="s">
        <v>2365</v>
      </c>
      <c r="B771">
        <v>39</v>
      </c>
      <c r="C771" t="s">
        <v>22</v>
      </c>
      <c r="D771" t="s">
        <v>149</v>
      </c>
      <c r="E771" t="s">
        <v>96</v>
      </c>
      <c r="F771" s="1">
        <v>44764</v>
      </c>
      <c r="G771" t="s">
        <v>2366</v>
      </c>
      <c r="H771" t="s">
        <v>2367</v>
      </c>
      <c r="I771" t="s">
        <v>82</v>
      </c>
      <c r="J771">
        <v>13869.79</v>
      </c>
      <c r="K771">
        <v>314</v>
      </c>
      <c r="L771" t="s">
        <v>28</v>
      </c>
      <c r="M771" s="1">
        <v>44766</v>
      </c>
      <c r="N771" t="s">
        <v>52</v>
      </c>
      <c r="O771" t="s">
        <v>61</v>
      </c>
      <c r="P771">
        <v>2</v>
      </c>
      <c r="Q771" t="s">
        <v>68</v>
      </c>
      <c r="R771" t="s">
        <v>32</v>
      </c>
      <c r="S771">
        <v>7</v>
      </c>
      <c r="T771">
        <v>2022</v>
      </c>
      <c r="U771" t="s">
        <v>86</v>
      </c>
    </row>
    <row r="772" spans="1:21" x14ac:dyDescent="0.3">
      <c r="A772" t="s">
        <v>2368</v>
      </c>
      <c r="B772">
        <v>53</v>
      </c>
      <c r="C772" t="s">
        <v>22</v>
      </c>
      <c r="D772" t="s">
        <v>149</v>
      </c>
      <c r="E772" t="s">
        <v>96</v>
      </c>
      <c r="F772" s="1">
        <v>44051</v>
      </c>
      <c r="G772" t="s">
        <v>2369</v>
      </c>
      <c r="H772" t="s">
        <v>2370</v>
      </c>
      <c r="I772" t="s">
        <v>51</v>
      </c>
      <c r="J772">
        <v>36107.4</v>
      </c>
      <c r="K772">
        <v>363</v>
      </c>
      <c r="L772" t="s">
        <v>40</v>
      </c>
      <c r="M772" s="1">
        <v>44064</v>
      </c>
      <c r="N772" t="s">
        <v>41</v>
      </c>
      <c r="O772" t="s">
        <v>30</v>
      </c>
      <c r="P772">
        <v>13</v>
      </c>
      <c r="Q772" t="s">
        <v>68</v>
      </c>
      <c r="R772" t="s">
        <v>44</v>
      </c>
      <c r="S772">
        <v>8</v>
      </c>
      <c r="T772">
        <v>2020</v>
      </c>
      <c r="U772" t="s">
        <v>45</v>
      </c>
    </row>
    <row r="773" spans="1:21" x14ac:dyDescent="0.3">
      <c r="A773" t="s">
        <v>2371</v>
      </c>
      <c r="B773">
        <v>21</v>
      </c>
      <c r="C773" t="s">
        <v>22</v>
      </c>
      <c r="D773" t="s">
        <v>149</v>
      </c>
      <c r="E773" t="s">
        <v>70</v>
      </c>
      <c r="F773" s="1">
        <v>45198</v>
      </c>
      <c r="G773" t="s">
        <v>2372</v>
      </c>
      <c r="H773" t="s">
        <v>2373</v>
      </c>
      <c r="I773" t="s">
        <v>27</v>
      </c>
      <c r="J773">
        <v>41208.17</v>
      </c>
      <c r="K773">
        <v>359</v>
      </c>
      <c r="L773" t="s">
        <v>40</v>
      </c>
      <c r="M773" s="1">
        <v>45205</v>
      </c>
      <c r="N773" t="s">
        <v>29</v>
      </c>
      <c r="O773" t="s">
        <v>30</v>
      </c>
      <c r="P773">
        <v>7</v>
      </c>
      <c r="Q773" t="s">
        <v>31</v>
      </c>
      <c r="R773" t="s">
        <v>44</v>
      </c>
      <c r="S773">
        <v>9</v>
      </c>
      <c r="T773">
        <v>2023</v>
      </c>
      <c r="U773" t="s">
        <v>54</v>
      </c>
    </row>
    <row r="774" spans="1:21" x14ac:dyDescent="0.3">
      <c r="A774" t="s">
        <v>2374</v>
      </c>
      <c r="B774">
        <v>82</v>
      </c>
      <c r="C774" t="s">
        <v>47</v>
      </c>
      <c r="D774" t="s">
        <v>23</v>
      </c>
      <c r="E774" t="s">
        <v>24</v>
      </c>
      <c r="F774" s="1">
        <v>44566</v>
      </c>
      <c r="G774" t="s">
        <v>2375</v>
      </c>
      <c r="H774" t="s">
        <v>2376</v>
      </c>
      <c r="I774" t="s">
        <v>51</v>
      </c>
      <c r="J774">
        <v>14292.07</v>
      </c>
      <c r="K774">
        <v>420</v>
      </c>
      <c r="L774" t="s">
        <v>28</v>
      </c>
      <c r="M774" s="1">
        <v>44569</v>
      </c>
      <c r="N774" t="s">
        <v>41</v>
      </c>
      <c r="O774" t="s">
        <v>61</v>
      </c>
      <c r="P774">
        <v>3</v>
      </c>
      <c r="Q774" t="s">
        <v>53</v>
      </c>
      <c r="R774" t="s">
        <v>32</v>
      </c>
      <c r="S774">
        <v>1</v>
      </c>
      <c r="T774">
        <v>2022</v>
      </c>
      <c r="U774" t="s">
        <v>33</v>
      </c>
    </row>
    <row r="775" spans="1:21" x14ac:dyDescent="0.3">
      <c r="A775" t="s">
        <v>2377</v>
      </c>
      <c r="B775">
        <v>61</v>
      </c>
      <c r="C775" t="s">
        <v>47</v>
      </c>
      <c r="D775" t="s">
        <v>76</v>
      </c>
      <c r="E775" t="s">
        <v>24</v>
      </c>
      <c r="F775" s="1">
        <v>44004</v>
      </c>
      <c r="G775" t="s">
        <v>2378</v>
      </c>
      <c r="H775" t="s">
        <v>2379</v>
      </c>
      <c r="I775" t="s">
        <v>51</v>
      </c>
      <c r="J775">
        <v>17722.96</v>
      </c>
      <c r="K775">
        <v>221</v>
      </c>
      <c r="L775" t="s">
        <v>40</v>
      </c>
      <c r="M775" s="1">
        <v>44032</v>
      </c>
      <c r="N775" t="s">
        <v>41</v>
      </c>
      <c r="O775" t="s">
        <v>61</v>
      </c>
      <c r="P775">
        <v>28</v>
      </c>
      <c r="Q775" t="s">
        <v>43</v>
      </c>
      <c r="R775" t="s">
        <v>32</v>
      </c>
      <c r="S775">
        <v>6</v>
      </c>
      <c r="T775">
        <v>2020</v>
      </c>
      <c r="U775" t="s">
        <v>118</v>
      </c>
    </row>
    <row r="776" spans="1:21" x14ac:dyDescent="0.3">
      <c r="A776" t="s">
        <v>2380</v>
      </c>
      <c r="B776">
        <v>59</v>
      </c>
      <c r="C776" t="s">
        <v>47</v>
      </c>
      <c r="D776" t="s">
        <v>76</v>
      </c>
      <c r="E776" t="s">
        <v>36</v>
      </c>
      <c r="F776" s="1">
        <v>43764</v>
      </c>
      <c r="G776" t="s">
        <v>2381</v>
      </c>
      <c r="H776" t="s">
        <v>2382</v>
      </c>
      <c r="I776" t="s">
        <v>51</v>
      </c>
      <c r="J776">
        <v>21125.32</v>
      </c>
      <c r="K776">
        <v>264</v>
      </c>
      <c r="L776" t="s">
        <v>60</v>
      </c>
      <c r="M776" s="1">
        <v>43767</v>
      </c>
      <c r="N776" t="s">
        <v>99</v>
      </c>
      <c r="O776" t="s">
        <v>30</v>
      </c>
      <c r="P776">
        <v>3</v>
      </c>
      <c r="Q776" t="s">
        <v>43</v>
      </c>
      <c r="R776" t="s">
        <v>32</v>
      </c>
      <c r="S776">
        <v>10</v>
      </c>
      <c r="T776">
        <v>2019</v>
      </c>
      <c r="U776" t="s">
        <v>110</v>
      </c>
    </row>
    <row r="777" spans="1:21" x14ac:dyDescent="0.3">
      <c r="A777" t="s">
        <v>2383</v>
      </c>
      <c r="B777">
        <v>51</v>
      </c>
      <c r="C777" t="s">
        <v>47</v>
      </c>
      <c r="D777" t="s">
        <v>56</v>
      </c>
      <c r="E777" t="s">
        <v>115</v>
      </c>
      <c r="F777" s="1">
        <v>45343</v>
      </c>
      <c r="G777" t="s">
        <v>2384</v>
      </c>
      <c r="H777" t="s">
        <v>2385</v>
      </c>
      <c r="I777" t="s">
        <v>73</v>
      </c>
      <c r="J777">
        <v>5164.55</v>
      </c>
      <c r="K777">
        <v>470</v>
      </c>
      <c r="L777" t="s">
        <v>28</v>
      </c>
      <c r="M777" s="1">
        <v>45370</v>
      </c>
      <c r="N777" t="s">
        <v>29</v>
      </c>
      <c r="O777" t="s">
        <v>61</v>
      </c>
      <c r="P777">
        <v>27</v>
      </c>
      <c r="Q777" t="s">
        <v>68</v>
      </c>
      <c r="R777" t="s">
        <v>100</v>
      </c>
      <c r="S777">
        <v>2</v>
      </c>
      <c r="T777">
        <v>2024</v>
      </c>
      <c r="U777" t="s">
        <v>278</v>
      </c>
    </row>
    <row r="778" spans="1:21" x14ac:dyDescent="0.3">
      <c r="A778" t="s">
        <v>2386</v>
      </c>
      <c r="B778">
        <v>43</v>
      </c>
      <c r="C778" t="s">
        <v>22</v>
      </c>
      <c r="D778" t="s">
        <v>64</v>
      </c>
      <c r="E778" t="s">
        <v>96</v>
      </c>
      <c r="F778" s="1">
        <v>44933</v>
      </c>
      <c r="G778" t="s">
        <v>2387</v>
      </c>
      <c r="H778" t="s">
        <v>2388</v>
      </c>
      <c r="I778" t="s">
        <v>73</v>
      </c>
      <c r="J778">
        <v>2162.61</v>
      </c>
      <c r="K778">
        <v>256</v>
      </c>
      <c r="L778" t="s">
        <v>40</v>
      </c>
      <c r="M778" s="1">
        <v>44934</v>
      </c>
      <c r="N778" t="s">
        <v>41</v>
      </c>
      <c r="O778" t="s">
        <v>61</v>
      </c>
      <c r="P778">
        <v>1</v>
      </c>
      <c r="Q778" t="s">
        <v>68</v>
      </c>
      <c r="R778" t="s">
        <v>100</v>
      </c>
      <c r="S778">
        <v>1</v>
      </c>
      <c r="T778">
        <v>2023</v>
      </c>
      <c r="U778" t="s">
        <v>33</v>
      </c>
    </row>
    <row r="779" spans="1:21" x14ac:dyDescent="0.3">
      <c r="A779" t="s">
        <v>2389</v>
      </c>
      <c r="B779">
        <v>79</v>
      </c>
      <c r="C779" t="s">
        <v>22</v>
      </c>
      <c r="D779" t="s">
        <v>127</v>
      </c>
      <c r="E779" t="s">
        <v>24</v>
      </c>
      <c r="F779" s="1">
        <v>45190</v>
      </c>
      <c r="G779" t="s">
        <v>2390</v>
      </c>
      <c r="H779" t="s">
        <v>2391</v>
      </c>
      <c r="I779" t="s">
        <v>27</v>
      </c>
      <c r="J779">
        <v>2675.23</v>
      </c>
      <c r="K779">
        <v>389</v>
      </c>
      <c r="L779" t="s">
        <v>40</v>
      </c>
      <c r="M779" s="1">
        <v>45200</v>
      </c>
      <c r="N779" t="s">
        <v>67</v>
      </c>
      <c r="O779" t="s">
        <v>30</v>
      </c>
      <c r="P779">
        <v>10</v>
      </c>
      <c r="Q779" t="s">
        <v>53</v>
      </c>
      <c r="R779" t="s">
        <v>100</v>
      </c>
      <c r="S779">
        <v>9</v>
      </c>
      <c r="T779">
        <v>2023</v>
      </c>
      <c r="U779" t="s">
        <v>54</v>
      </c>
    </row>
    <row r="780" spans="1:21" x14ac:dyDescent="0.3">
      <c r="A780" t="s">
        <v>2392</v>
      </c>
      <c r="B780">
        <v>79</v>
      </c>
      <c r="C780" t="s">
        <v>47</v>
      </c>
      <c r="D780" t="s">
        <v>23</v>
      </c>
      <c r="E780" t="s">
        <v>115</v>
      </c>
      <c r="F780" s="1">
        <v>44902</v>
      </c>
      <c r="G780" t="s">
        <v>2393</v>
      </c>
      <c r="H780" t="s">
        <v>2394</v>
      </c>
      <c r="I780" t="s">
        <v>51</v>
      </c>
      <c r="J780">
        <v>44918.32</v>
      </c>
      <c r="K780">
        <v>217</v>
      </c>
      <c r="L780" t="s">
        <v>40</v>
      </c>
      <c r="M780" s="1">
        <v>44916</v>
      </c>
      <c r="N780" t="s">
        <v>99</v>
      </c>
      <c r="O780" t="s">
        <v>61</v>
      </c>
      <c r="P780">
        <v>14</v>
      </c>
      <c r="Q780" t="s">
        <v>53</v>
      </c>
      <c r="R780" t="s">
        <v>44</v>
      </c>
      <c r="S780">
        <v>12</v>
      </c>
      <c r="T780">
        <v>2022</v>
      </c>
      <c r="U780" t="s">
        <v>74</v>
      </c>
    </row>
    <row r="781" spans="1:21" x14ac:dyDescent="0.3">
      <c r="A781" t="s">
        <v>2395</v>
      </c>
      <c r="B781">
        <v>49</v>
      </c>
      <c r="C781" t="s">
        <v>22</v>
      </c>
      <c r="D781" t="s">
        <v>56</v>
      </c>
      <c r="E781" t="s">
        <v>36</v>
      </c>
      <c r="F781" s="1">
        <v>44908</v>
      </c>
      <c r="G781" t="s">
        <v>2396</v>
      </c>
      <c r="H781" t="s">
        <v>2397</v>
      </c>
      <c r="I781" t="s">
        <v>39</v>
      </c>
      <c r="J781">
        <v>6327.8</v>
      </c>
      <c r="K781">
        <v>371</v>
      </c>
      <c r="L781" t="s">
        <v>40</v>
      </c>
      <c r="M781" s="1">
        <v>44923</v>
      </c>
      <c r="N781" t="s">
        <v>52</v>
      </c>
      <c r="O781" t="s">
        <v>61</v>
      </c>
      <c r="P781">
        <v>15</v>
      </c>
      <c r="Q781" t="s">
        <v>68</v>
      </c>
      <c r="R781" t="s">
        <v>100</v>
      </c>
      <c r="S781">
        <v>12</v>
      </c>
      <c r="T781">
        <v>2022</v>
      </c>
      <c r="U781" t="s">
        <v>74</v>
      </c>
    </row>
    <row r="782" spans="1:21" x14ac:dyDescent="0.3">
      <c r="A782" t="s">
        <v>2398</v>
      </c>
      <c r="B782">
        <v>68</v>
      </c>
      <c r="C782" t="s">
        <v>47</v>
      </c>
      <c r="D782" t="s">
        <v>149</v>
      </c>
      <c r="E782" t="s">
        <v>96</v>
      </c>
      <c r="F782" s="1">
        <v>44881</v>
      </c>
      <c r="G782" t="s">
        <v>2399</v>
      </c>
      <c r="H782" t="s">
        <v>2400</v>
      </c>
      <c r="I782" t="s">
        <v>27</v>
      </c>
      <c r="J782">
        <v>29526.32</v>
      </c>
      <c r="K782">
        <v>384</v>
      </c>
      <c r="L782" t="s">
        <v>60</v>
      </c>
      <c r="M782" s="1">
        <v>44886</v>
      </c>
      <c r="N782" t="s">
        <v>52</v>
      </c>
      <c r="O782" t="s">
        <v>42</v>
      </c>
      <c r="P782">
        <v>5</v>
      </c>
      <c r="Q782" t="s">
        <v>43</v>
      </c>
      <c r="R782" t="s">
        <v>32</v>
      </c>
      <c r="S782">
        <v>11</v>
      </c>
      <c r="T782">
        <v>2022</v>
      </c>
      <c r="U782" t="s">
        <v>62</v>
      </c>
    </row>
    <row r="783" spans="1:21" x14ac:dyDescent="0.3">
      <c r="A783" t="s">
        <v>2401</v>
      </c>
      <c r="B783">
        <v>69</v>
      </c>
      <c r="C783" t="s">
        <v>47</v>
      </c>
      <c r="D783" t="s">
        <v>56</v>
      </c>
      <c r="E783" t="s">
        <v>70</v>
      </c>
      <c r="F783" s="1">
        <v>43635</v>
      </c>
      <c r="G783" t="s">
        <v>2402</v>
      </c>
      <c r="H783" t="s">
        <v>2403</v>
      </c>
      <c r="I783" t="s">
        <v>39</v>
      </c>
      <c r="J783">
        <v>38989.53</v>
      </c>
      <c r="K783">
        <v>165</v>
      </c>
      <c r="L783" t="s">
        <v>60</v>
      </c>
      <c r="M783" s="1">
        <v>43663</v>
      </c>
      <c r="N783" t="s">
        <v>67</v>
      </c>
      <c r="O783" t="s">
        <v>42</v>
      </c>
      <c r="P783">
        <v>28</v>
      </c>
      <c r="Q783" t="s">
        <v>43</v>
      </c>
      <c r="R783" t="s">
        <v>44</v>
      </c>
      <c r="S783">
        <v>6</v>
      </c>
      <c r="T783">
        <v>2019</v>
      </c>
      <c r="U783" t="s">
        <v>118</v>
      </c>
    </row>
    <row r="784" spans="1:21" x14ac:dyDescent="0.3">
      <c r="A784" t="s">
        <v>2404</v>
      </c>
      <c r="B784">
        <v>49</v>
      </c>
      <c r="C784" t="s">
        <v>47</v>
      </c>
      <c r="D784" t="s">
        <v>127</v>
      </c>
      <c r="E784" t="s">
        <v>36</v>
      </c>
      <c r="F784" s="1">
        <v>44955</v>
      </c>
      <c r="G784" t="s">
        <v>2405</v>
      </c>
      <c r="H784" t="s">
        <v>2406</v>
      </c>
      <c r="I784" t="s">
        <v>27</v>
      </c>
      <c r="J784">
        <v>33395.1</v>
      </c>
      <c r="K784">
        <v>490</v>
      </c>
      <c r="L784" t="s">
        <v>40</v>
      </c>
      <c r="M784" s="1">
        <v>44975</v>
      </c>
      <c r="N784" t="s">
        <v>41</v>
      </c>
      <c r="O784" t="s">
        <v>30</v>
      </c>
      <c r="P784">
        <v>20</v>
      </c>
      <c r="Q784" t="s">
        <v>68</v>
      </c>
      <c r="R784" t="s">
        <v>44</v>
      </c>
      <c r="S784">
        <v>1</v>
      </c>
      <c r="T784">
        <v>2023</v>
      </c>
      <c r="U784" t="s">
        <v>33</v>
      </c>
    </row>
    <row r="785" spans="1:21" x14ac:dyDescent="0.3">
      <c r="A785" t="s">
        <v>2407</v>
      </c>
      <c r="B785">
        <v>27</v>
      </c>
      <c r="C785" t="s">
        <v>47</v>
      </c>
      <c r="D785" t="s">
        <v>149</v>
      </c>
      <c r="E785" t="s">
        <v>24</v>
      </c>
      <c r="F785" s="1">
        <v>45260</v>
      </c>
      <c r="G785" t="s">
        <v>2408</v>
      </c>
      <c r="H785" t="s">
        <v>2409</v>
      </c>
      <c r="I785" t="s">
        <v>82</v>
      </c>
      <c r="J785">
        <v>20258.78</v>
      </c>
      <c r="K785">
        <v>491</v>
      </c>
      <c r="L785" t="s">
        <v>60</v>
      </c>
      <c r="M785" s="1">
        <v>45272</v>
      </c>
      <c r="N785" t="s">
        <v>29</v>
      </c>
      <c r="O785" t="s">
        <v>61</v>
      </c>
      <c r="P785">
        <v>12</v>
      </c>
      <c r="Q785" t="s">
        <v>31</v>
      </c>
      <c r="R785" t="s">
        <v>32</v>
      </c>
      <c r="S785">
        <v>11</v>
      </c>
      <c r="T785">
        <v>2023</v>
      </c>
      <c r="U785" t="s">
        <v>62</v>
      </c>
    </row>
    <row r="786" spans="1:21" x14ac:dyDescent="0.3">
      <c r="A786" t="s">
        <v>2410</v>
      </c>
      <c r="B786">
        <v>73</v>
      </c>
      <c r="C786" t="s">
        <v>22</v>
      </c>
      <c r="D786" t="s">
        <v>35</v>
      </c>
      <c r="E786" t="s">
        <v>36</v>
      </c>
      <c r="F786" s="1">
        <v>44281</v>
      </c>
      <c r="G786" t="s">
        <v>2411</v>
      </c>
      <c r="H786" t="s">
        <v>2412</v>
      </c>
      <c r="I786" t="s">
        <v>39</v>
      </c>
      <c r="J786">
        <v>43050.83</v>
      </c>
      <c r="K786">
        <v>340</v>
      </c>
      <c r="L786" t="s">
        <v>28</v>
      </c>
      <c r="M786" s="1">
        <v>44306</v>
      </c>
      <c r="N786" t="s">
        <v>67</v>
      </c>
      <c r="O786" t="s">
        <v>61</v>
      </c>
      <c r="P786">
        <v>25</v>
      </c>
      <c r="Q786" t="s">
        <v>53</v>
      </c>
      <c r="R786" t="s">
        <v>44</v>
      </c>
      <c r="S786">
        <v>3</v>
      </c>
      <c r="T786">
        <v>2021</v>
      </c>
      <c r="U786" t="s">
        <v>122</v>
      </c>
    </row>
    <row r="787" spans="1:21" x14ac:dyDescent="0.3">
      <c r="A787" t="s">
        <v>2413</v>
      </c>
      <c r="B787">
        <v>42</v>
      </c>
      <c r="C787" t="s">
        <v>47</v>
      </c>
      <c r="D787" t="s">
        <v>64</v>
      </c>
      <c r="E787" t="s">
        <v>57</v>
      </c>
      <c r="F787" s="1">
        <v>44429</v>
      </c>
      <c r="G787" t="s">
        <v>2414</v>
      </c>
      <c r="H787" t="s">
        <v>2415</v>
      </c>
      <c r="I787" t="s">
        <v>82</v>
      </c>
      <c r="J787">
        <v>37284.050000000003</v>
      </c>
      <c r="K787">
        <v>283</v>
      </c>
      <c r="L787" t="s">
        <v>60</v>
      </c>
      <c r="M787" s="1">
        <v>44442</v>
      </c>
      <c r="N787" t="s">
        <v>29</v>
      </c>
      <c r="O787" t="s">
        <v>61</v>
      </c>
      <c r="P787">
        <v>13</v>
      </c>
      <c r="Q787" t="s">
        <v>68</v>
      </c>
      <c r="R787" t="s">
        <v>44</v>
      </c>
      <c r="S787">
        <v>8</v>
      </c>
      <c r="T787">
        <v>2021</v>
      </c>
      <c r="U787" t="s">
        <v>45</v>
      </c>
    </row>
    <row r="788" spans="1:21" x14ac:dyDescent="0.3">
      <c r="A788" t="s">
        <v>2416</v>
      </c>
      <c r="B788">
        <v>59</v>
      </c>
      <c r="C788" t="s">
        <v>47</v>
      </c>
      <c r="D788" t="s">
        <v>149</v>
      </c>
      <c r="E788" t="s">
        <v>24</v>
      </c>
      <c r="F788" s="1">
        <v>45294</v>
      </c>
      <c r="G788" t="s">
        <v>2417</v>
      </c>
      <c r="H788" t="s">
        <v>2418</v>
      </c>
      <c r="I788" t="s">
        <v>27</v>
      </c>
      <c r="J788">
        <v>42434.78</v>
      </c>
      <c r="K788">
        <v>494</v>
      </c>
      <c r="L788" t="s">
        <v>28</v>
      </c>
      <c r="M788" s="1">
        <v>45316</v>
      </c>
      <c r="N788" t="s">
        <v>99</v>
      </c>
      <c r="O788" t="s">
        <v>61</v>
      </c>
      <c r="P788">
        <v>22</v>
      </c>
      <c r="Q788" t="s">
        <v>43</v>
      </c>
      <c r="R788" t="s">
        <v>44</v>
      </c>
      <c r="S788">
        <v>1</v>
      </c>
      <c r="T788">
        <v>2024</v>
      </c>
      <c r="U788" t="s">
        <v>33</v>
      </c>
    </row>
    <row r="789" spans="1:21" x14ac:dyDescent="0.3">
      <c r="A789" t="s">
        <v>2419</v>
      </c>
      <c r="B789">
        <v>20</v>
      </c>
      <c r="C789" t="s">
        <v>47</v>
      </c>
      <c r="D789" t="s">
        <v>35</v>
      </c>
      <c r="E789" t="s">
        <v>96</v>
      </c>
      <c r="F789" s="1">
        <v>45374</v>
      </c>
      <c r="G789" t="s">
        <v>2420</v>
      </c>
      <c r="H789" t="s">
        <v>2421</v>
      </c>
      <c r="I789" t="s">
        <v>73</v>
      </c>
      <c r="J789">
        <v>38570.129999999997</v>
      </c>
      <c r="K789">
        <v>487</v>
      </c>
      <c r="L789" t="s">
        <v>40</v>
      </c>
      <c r="M789" s="1">
        <v>45403</v>
      </c>
      <c r="N789" t="s">
        <v>67</v>
      </c>
      <c r="O789" t="s">
        <v>61</v>
      </c>
      <c r="P789">
        <v>29</v>
      </c>
      <c r="Q789" t="s">
        <v>31</v>
      </c>
      <c r="R789" t="s">
        <v>44</v>
      </c>
      <c r="S789">
        <v>3</v>
      </c>
      <c r="T789">
        <v>2024</v>
      </c>
      <c r="U789" t="s">
        <v>122</v>
      </c>
    </row>
    <row r="790" spans="1:21" x14ac:dyDescent="0.3">
      <c r="A790" t="s">
        <v>2422</v>
      </c>
      <c r="B790">
        <v>61</v>
      </c>
      <c r="C790" t="s">
        <v>47</v>
      </c>
      <c r="D790" t="s">
        <v>35</v>
      </c>
      <c r="E790" t="s">
        <v>24</v>
      </c>
      <c r="F790" s="1">
        <v>44898</v>
      </c>
      <c r="G790" t="s">
        <v>2423</v>
      </c>
      <c r="H790" t="s">
        <v>2424</v>
      </c>
      <c r="I790" t="s">
        <v>39</v>
      </c>
      <c r="J790">
        <v>22108.97</v>
      </c>
      <c r="K790">
        <v>334</v>
      </c>
      <c r="L790" t="s">
        <v>40</v>
      </c>
      <c r="M790" s="1">
        <v>44905</v>
      </c>
      <c r="N790" t="s">
        <v>29</v>
      </c>
      <c r="O790" t="s">
        <v>42</v>
      </c>
      <c r="P790">
        <v>7</v>
      </c>
      <c r="Q790" t="s">
        <v>43</v>
      </c>
      <c r="R790" t="s">
        <v>32</v>
      </c>
      <c r="S790">
        <v>12</v>
      </c>
      <c r="T790">
        <v>2022</v>
      </c>
      <c r="U790" t="s">
        <v>74</v>
      </c>
    </row>
    <row r="791" spans="1:21" x14ac:dyDescent="0.3">
      <c r="A791" t="s">
        <v>2425</v>
      </c>
      <c r="B791">
        <v>50</v>
      </c>
      <c r="C791" t="s">
        <v>22</v>
      </c>
      <c r="D791" t="s">
        <v>127</v>
      </c>
      <c r="E791" t="s">
        <v>70</v>
      </c>
      <c r="F791" s="1">
        <v>44464</v>
      </c>
      <c r="G791" t="s">
        <v>2426</v>
      </c>
      <c r="H791" t="s">
        <v>2427</v>
      </c>
      <c r="I791" t="s">
        <v>73</v>
      </c>
      <c r="J791">
        <v>40783.15</v>
      </c>
      <c r="K791">
        <v>366</v>
      </c>
      <c r="L791" t="s">
        <v>28</v>
      </c>
      <c r="M791" s="1">
        <v>44492</v>
      </c>
      <c r="N791" t="s">
        <v>67</v>
      </c>
      <c r="O791" t="s">
        <v>42</v>
      </c>
      <c r="P791">
        <v>28</v>
      </c>
      <c r="Q791" t="s">
        <v>68</v>
      </c>
      <c r="R791" t="s">
        <v>44</v>
      </c>
      <c r="S791">
        <v>9</v>
      </c>
      <c r="T791">
        <v>2021</v>
      </c>
      <c r="U791" t="s">
        <v>54</v>
      </c>
    </row>
    <row r="792" spans="1:21" x14ac:dyDescent="0.3">
      <c r="A792" t="s">
        <v>2428</v>
      </c>
      <c r="B792">
        <v>29</v>
      </c>
      <c r="C792" t="s">
        <v>47</v>
      </c>
      <c r="D792" t="s">
        <v>23</v>
      </c>
      <c r="E792" t="s">
        <v>70</v>
      </c>
      <c r="F792" s="1">
        <v>44066</v>
      </c>
      <c r="G792" t="s">
        <v>2429</v>
      </c>
      <c r="H792" t="s">
        <v>2430</v>
      </c>
      <c r="I792" t="s">
        <v>82</v>
      </c>
      <c r="J792">
        <v>28296.18</v>
      </c>
      <c r="K792">
        <v>490</v>
      </c>
      <c r="L792" t="s">
        <v>40</v>
      </c>
      <c r="M792" s="1">
        <v>44069</v>
      </c>
      <c r="N792" t="s">
        <v>41</v>
      </c>
      <c r="O792" t="s">
        <v>30</v>
      </c>
      <c r="P792">
        <v>3</v>
      </c>
      <c r="Q792" t="s">
        <v>31</v>
      </c>
      <c r="R792" t="s">
        <v>32</v>
      </c>
      <c r="S792">
        <v>8</v>
      </c>
      <c r="T792">
        <v>2020</v>
      </c>
      <c r="U792" t="s">
        <v>45</v>
      </c>
    </row>
    <row r="793" spans="1:21" x14ac:dyDescent="0.3">
      <c r="A793" t="s">
        <v>2431</v>
      </c>
      <c r="B793">
        <v>44</v>
      </c>
      <c r="C793" t="s">
        <v>22</v>
      </c>
      <c r="D793" t="s">
        <v>127</v>
      </c>
      <c r="E793" t="s">
        <v>70</v>
      </c>
      <c r="F793" s="1">
        <v>44092</v>
      </c>
      <c r="G793" t="s">
        <v>2432</v>
      </c>
      <c r="H793" t="s">
        <v>2433</v>
      </c>
      <c r="I793" t="s">
        <v>82</v>
      </c>
      <c r="J793">
        <v>46950.58</v>
      </c>
      <c r="K793">
        <v>384</v>
      </c>
      <c r="L793" t="s">
        <v>60</v>
      </c>
      <c r="M793" s="1">
        <v>44120</v>
      </c>
      <c r="N793" t="s">
        <v>67</v>
      </c>
      <c r="O793" t="s">
        <v>42</v>
      </c>
      <c r="P793">
        <v>28</v>
      </c>
      <c r="Q793" t="s">
        <v>68</v>
      </c>
      <c r="R793" t="s">
        <v>44</v>
      </c>
      <c r="S793">
        <v>9</v>
      </c>
      <c r="T793">
        <v>2020</v>
      </c>
      <c r="U793" t="s">
        <v>54</v>
      </c>
    </row>
    <row r="794" spans="1:21" x14ac:dyDescent="0.3">
      <c r="A794" t="s">
        <v>2434</v>
      </c>
      <c r="B794">
        <v>37</v>
      </c>
      <c r="C794" t="s">
        <v>47</v>
      </c>
      <c r="D794" t="s">
        <v>64</v>
      </c>
      <c r="E794" t="s">
        <v>57</v>
      </c>
      <c r="F794" s="1">
        <v>44774</v>
      </c>
      <c r="G794" t="s">
        <v>2435</v>
      </c>
      <c r="H794" t="s">
        <v>2436</v>
      </c>
      <c r="I794" t="s">
        <v>73</v>
      </c>
      <c r="J794">
        <v>41548.15</v>
      </c>
      <c r="K794">
        <v>157</v>
      </c>
      <c r="L794" t="s">
        <v>60</v>
      </c>
      <c r="M794" s="1">
        <v>44803</v>
      </c>
      <c r="N794" t="s">
        <v>99</v>
      </c>
      <c r="O794" t="s">
        <v>42</v>
      </c>
      <c r="P794">
        <v>29</v>
      </c>
      <c r="Q794" t="s">
        <v>68</v>
      </c>
      <c r="R794" t="s">
        <v>44</v>
      </c>
      <c r="S794">
        <v>8</v>
      </c>
      <c r="T794">
        <v>2022</v>
      </c>
      <c r="U794" t="s">
        <v>45</v>
      </c>
    </row>
    <row r="795" spans="1:21" x14ac:dyDescent="0.3">
      <c r="A795" t="s">
        <v>2437</v>
      </c>
      <c r="B795">
        <v>79</v>
      </c>
      <c r="C795" t="s">
        <v>47</v>
      </c>
      <c r="D795" t="s">
        <v>76</v>
      </c>
      <c r="E795" t="s">
        <v>96</v>
      </c>
      <c r="F795" s="1">
        <v>43841</v>
      </c>
      <c r="G795" t="s">
        <v>2438</v>
      </c>
      <c r="H795" t="s">
        <v>2439</v>
      </c>
      <c r="I795" t="s">
        <v>82</v>
      </c>
      <c r="J795">
        <v>43277.56</v>
      </c>
      <c r="K795">
        <v>214</v>
      </c>
      <c r="L795" t="s">
        <v>28</v>
      </c>
      <c r="M795" s="1">
        <v>43855</v>
      </c>
      <c r="N795" t="s">
        <v>67</v>
      </c>
      <c r="O795" t="s">
        <v>42</v>
      </c>
      <c r="P795">
        <v>14</v>
      </c>
      <c r="Q795" t="s">
        <v>53</v>
      </c>
      <c r="R795" t="s">
        <v>44</v>
      </c>
      <c r="S795">
        <v>1</v>
      </c>
      <c r="T795">
        <v>2020</v>
      </c>
      <c r="U795" t="s">
        <v>33</v>
      </c>
    </row>
    <row r="796" spans="1:21" x14ac:dyDescent="0.3">
      <c r="A796" t="s">
        <v>2440</v>
      </c>
      <c r="B796">
        <v>18</v>
      </c>
      <c r="C796" t="s">
        <v>22</v>
      </c>
      <c r="D796" t="s">
        <v>64</v>
      </c>
      <c r="E796" t="s">
        <v>96</v>
      </c>
      <c r="F796" s="1">
        <v>44120</v>
      </c>
      <c r="G796" t="s">
        <v>2441</v>
      </c>
      <c r="H796" t="s">
        <v>2442</v>
      </c>
      <c r="I796" t="s">
        <v>82</v>
      </c>
      <c r="J796">
        <v>41248.129999999997</v>
      </c>
      <c r="K796">
        <v>125</v>
      </c>
      <c r="L796" t="s">
        <v>60</v>
      </c>
      <c r="M796" s="1">
        <v>44121</v>
      </c>
      <c r="N796" t="s">
        <v>99</v>
      </c>
      <c r="O796" t="s">
        <v>61</v>
      </c>
      <c r="P796">
        <v>1</v>
      </c>
      <c r="Q796" t="s">
        <v>31</v>
      </c>
      <c r="R796" t="s">
        <v>44</v>
      </c>
      <c r="S796">
        <v>10</v>
      </c>
      <c r="T796">
        <v>2020</v>
      </c>
      <c r="U796" t="s">
        <v>110</v>
      </c>
    </row>
    <row r="797" spans="1:21" x14ac:dyDescent="0.3">
      <c r="A797" t="s">
        <v>2443</v>
      </c>
      <c r="B797">
        <v>25</v>
      </c>
      <c r="C797" t="s">
        <v>47</v>
      </c>
      <c r="D797" t="s">
        <v>35</v>
      </c>
      <c r="E797" t="s">
        <v>24</v>
      </c>
      <c r="F797" s="1">
        <v>45411</v>
      </c>
      <c r="G797" t="s">
        <v>2444</v>
      </c>
      <c r="H797" t="s">
        <v>2445</v>
      </c>
      <c r="I797" t="s">
        <v>73</v>
      </c>
      <c r="J797">
        <v>6162.35</v>
      </c>
      <c r="K797">
        <v>332</v>
      </c>
      <c r="L797" t="s">
        <v>40</v>
      </c>
      <c r="M797" s="1">
        <v>45431</v>
      </c>
      <c r="N797" t="s">
        <v>52</v>
      </c>
      <c r="O797" t="s">
        <v>42</v>
      </c>
      <c r="P797">
        <v>20</v>
      </c>
      <c r="Q797" t="s">
        <v>31</v>
      </c>
      <c r="R797" t="s">
        <v>100</v>
      </c>
      <c r="S797">
        <v>4</v>
      </c>
      <c r="T797">
        <v>2024</v>
      </c>
      <c r="U797" t="s">
        <v>94</v>
      </c>
    </row>
    <row r="798" spans="1:21" x14ac:dyDescent="0.3">
      <c r="A798" t="s">
        <v>2446</v>
      </c>
      <c r="B798">
        <v>64</v>
      </c>
      <c r="C798" t="s">
        <v>47</v>
      </c>
      <c r="D798" t="s">
        <v>56</v>
      </c>
      <c r="E798" t="s">
        <v>24</v>
      </c>
      <c r="F798" s="1">
        <v>44747</v>
      </c>
      <c r="G798" t="s">
        <v>2447</v>
      </c>
      <c r="H798" t="s">
        <v>2448</v>
      </c>
      <c r="I798" t="s">
        <v>27</v>
      </c>
      <c r="J798">
        <v>45208.34</v>
      </c>
      <c r="K798">
        <v>243</v>
      </c>
      <c r="L798" t="s">
        <v>28</v>
      </c>
      <c r="M798" s="1">
        <v>44748</v>
      </c>
      <c r="N798" t="s">
        <v>99</v>
      </c>
      <c r="O798" t="s">
        <v>61</v>
      </c>
      <c r="P798">
        <v>1</v>
      </c>
      <c r="Q798" t="s">
        <v>43</v>
      </c>
      <c r="R798" t="s">
        <v>44</v>
      </c>
      <c r="S798">
        <v>7</v>
      </c>
      <c r="T798">
        <v>2022</v>
      </c>
      <c r="U798" t="s">
        <v>86</v>
      </c>
    </row>
    <row r="799" spans="1:21" x14ac:dyDescent="0.3">
      <c r="A799" t="s">
        <v>2449</v>
      </c>
      <c r="B799">
        <v>23</v>
      </c>
      <c r="C799" t="s">
        <v>22</v>
      </c>
      <c r="D799" t="s">
        <v>127</v>
      </c>
      <c r="E799" t="s">
        <v>57</v>
      </c>
      <c r="F799" s="1">
        <v>43704</v>
      </c>
      <c r="G799" t="s">
        <v>2450</v>
      </c>
      <c r="H799" t="s">
        <v>2451</v>
      </c>
      <c r="I799" t="s">
        <v>51</v>
      </c>
      <c r="J799">
        <v>36324.519999999997</v>
      </c>
      <c r="K799">
        <v>377</v>
      </c>
      <c r="L799" t="s">
        <v>40</v>
      </c>
      <c r="M799" s="1">
        <v>43723</v>
      </c>
      <c r="N799" t="s">
        <v>29</v>
      </c>
      <c r="O799" t="s">
        <v>30</v>
      </c>
      <c r="P799">
        <v>19</v>
      </c>
      <c r="Q799" t="s">
        <v>31</v>
      </c>
      <c r="R799" t="s">
        <v>44</v>
      </c>
      <c r="S799">
        <v>8</v>
      </c>
      <c r="T799">
        <v>2019</v>
      </c>
      <c r="U799" t="s">
        <v>45</v>
      </c>
    </row>
    <row r="800" spans="1:21" x14ac:dyDescent="0.3">
      <c r="A800" t="s">
        <v>2452</v>
      </c>
      <c r="B800">
        <v>57</v>
      </c>
      <c r="C800" t="s">
        <v>22</v>
      </c>
      <c r="D800" t="s">
        <v>48</v>
      </c>
      <c r="E800" t="s">
        <v>96</v>
      </c>
      <c r="F800" s="1">
        <v>45361</v>
      </c>
      <c r="G800" t="s">
        <v>2453</v>
      </c>
      <c r="H800" t="s">
        <v>2454</v>
      </c>
      <c r="I800" t="s">
        <v>39</v>
      </c>
      <c r="J800">
        <v>46084.67</v>
      </c>
      <c r="K800">
        <v>224</v>
      </c>
      <c r="L800" t="s">
        <v>28</v>
      </c>
      <c r="M800" s="1">
        <v>45373</v>
      </c>
      <c r="N800" t="s">
        <v>67</v>
      </c>
      <c r="O800" t="s">
        <v>61</v>
      </c>
      <c r="P800">
        <v>12</v>
      </c>
      <c r="Q800" t="s">
        <v>43</v>
      </c>
      <c r="R800" t="s">
        <v>44</v>
      </c>
      <c r="S800">
        <v>3</v>
      </c>
      <c r="T800">
        <v>2024</v>
      </c>
      <c r="U800" t="s">
        <v>122</v>
      </c>
    </row>
    <row r="801" spans="1:21" x14ac:dyDescent="0.3">
      <c r="A801" t="s">
        <v>2455</v>
      </c>
      <c r="B801">
        <v>49</v>
      </c>
      <c r="C801" t="s">
        <v>47</v>
      </c>
      <c r="D801" t="s">
        <v>76</v>
      </c>
      <c r="E801" t="s">
        <v>70</v>
      </c>
      <c r="F801" s="1">
        <v>44973</v>
      </c>
      <c r="G801" t="s">
        <v>2456</v>
      </c>
      <c r="H801" t="s">
        <v>2457</v>
      </c>
      <c r="I801" t="s">
        <v>51</v>
      </c>
      <c r="J801">
        <v>-1018.25</v>
      </c>
      <c r="K801">
        <v>204</v>
      </c>
      <c r="L801" t="s">
        <v>60</v>
      </c>
      <c r="M801" s="1">
        <v>44994</v>
      </c>
      <c r="N801" t="s">
        <v>67</v>
      </c>
      <c r="O801" t="s">
        <v>42</v>
      </c>
      <c r="P801">
        <v>21</v>
      </c>
      <c r="Q801" t="s">
        <v>68</v>
      </c>
      <c r="R801" t="s">
        <v>100</v>
      </c>
      <c r="S801">
        <v>2</v>
      </c>
      <c r="T801">
        <v>2023</v>
      </c>
      <c r="U801" t="s">
        <v>278</v>
      </c>
    </row>
    <row r="802" spans="1:21" x14ac:dyDescent="0.3">
      <c r="A802" t="s">
        <v>2458</v>
      </c>
      <c r="B802">
        <v>49</v>
      </c>
      <c r="C802" t="s">
        <v>47</v>
      </c>
      <c r="D802" t="s">
        <v>149</v>
      </c>
      <c r="E802" t="s">
        <v>57</v>
      </c>
      <c r="F802" s="1">
        <v>45407</v>
      </c>
      <c r="G802" t="s">
        <v>2459</v>
      </c>
      <c r="H802" t="s">
        <v>2460</v>
      </c>
      <c r="I802" t="s">
        <v>51</v>
      </c>
      <c r="J802">
        <v>6657.35</v>
      </c>
      <c r="K802">
        <v>415</v>
      </c>
      <c r="L802" t="s">
        <v>60</v>
      </c>
      <c r="M802" s="1">
        <v>45426</v>
      </c>
      <c r="N802" t="s">
        <v>67</v>
      </c>
      <c r="O802" t="s">
        <v>61</v>
      </c>
      <c r="P802">
        <v>19</v>
      </c>
      <c r="Q802" t="s">
        <v>68</v>
      </c>
      <c r="R802" t="s">
        <v>100</v>
      </c>
      <c r="S802">
        <v>4</v>
      </c>
      <c r="T802">
        <v>2024</v>
      </c>
      <c r="U802" t="s">
        <v>94</v>
      </c>
    </row>
    <row r="803" spans="1:21" x14ac:dyDescent="0.3">
      <c r="A803" t="s">
        <v>2461</v>
      </c>
      <c r="B803">
        <v>65</v>
      </c>
      <c r="C803" t="s">
        <v>47</v>
      </c>
      <c r="D803" t="s">
        <v>23</v>
      </c>
      <c r="E803" t="s">
        <v>70</v>
      </c>
      <c r="F803" s="1">
        <v>45194</v>
      </c>
      <c r="G803" t="s">
        <v>2462</v>
      </c>
      <c r="H803" t="s">
        <v>2463</v>
      </c>
      <c r="I803" t="s">
        <v>73</v>
      </c>
      <c r="J803">
        <v>39357.46</v>
      </c>
      <c r="K803">
        <v>409</v>
      </c>
      <c r="L803" t="s">
        <v>28</v>
      </c>
      <c r="M803" s="1">
        <v>45212</v>
      </c>
      <c r="N803" t="s">
        <v>99</v>
      </c>
      <c r="O803" t="s">
        <v>30</v>
      </c>
      <c r="P803">
        <v>18</v>
      </c>
      <c r="Q803" t="s">
        <v>43</v>
      </c>
      <c r="R803" t="s">
        <v>44</v>
      </c>
      <c r="S803">
        <v>9</v>
      </c>
      <c r="T803">
        <v>2023</v>
      </c>
      <c r="U803" t="s">
        <v>54</v>
      </c>
    </row>
    <row r="804" spans="1:21" x14ac:dyDescent="0.3">
      <c r="A804" t="s">
        <v>2464</v>
      </c>
      <c r="B804">
        <v>59</v>
      </c>
      <c r="C804" t="s">
        <v>47</v>
      </c>
      <c r="D804" t="s">
        <v>76</v>
      </c>
      <c r="E804" t="s">
        <v>115</v>
      </c>
      <c r="F804" s="1">
        <v>44816</v>
      </c>
      <c r="G804" t="s">
        <v>2465</v>
      </c>
      <c r="H804" t="s">
        <v>2466</v>
      </c>
      <c r="I804" t="s">
        <v>82</v>
      </c>
      <c r="J804">
        <v>23154.639999999999</v>
      </c>
      <c r="K804">
        <v>418</v>
      </c>
      <c r="L804" t="s">
        <v>40</v>
      </c>
      <c r="M804" s="1">
        <v>44825</v>
      </c>
      <c r="N804" t="s">
        <v>52</v>
      </c>
      <c r="O804" t="s">
        <v>30</v>
      </c>
      <c r="P804">
        <v>9</v>
      </c>
      <c r="Q804" t="s">
        <v>43</v>
      </c>
      <c r="R804" t="s">
        <v>32</v>
      </c>
      <c r="S804">
        <v>9</v>
      </c>
      <c r="T804">
        <v>2022</v>
      </c>
      <c r="U804" t="s">
        <v>54</v>
      </c>
    </row>
    <row r="805" spans="1:21" x14ac:dyDescent="0.3">
      <c r="A805" t="s">
        <v>2467</v>
      </c>
      <c r="B805">
        <v>82</v>
      </c>
      <c r="C805" t="s">
        <v>22</v>
      </c>
      <c r="D805" t="s">
        <v>56</v>
      </c>
      <c r="E805" t="s">
        <v>57</v>
      </c>
      <c r="F805" s="1">
        <v>43646</v>
      </c>
      <c r="G805" t="s">
        <v>2468</v>
      </c>
      <c r="H805" t="s">
        <v>2469</v>
      </c>
      <c r="I805" t="s">
        <v>73</v>
      </c>
      <c r="J805">
        <v>6653.59</v>
      </c>
      <c r="K805">
        <v>449</v>
      </c>
      <c r="L805" t="s">
        <v>40</v>
      </c>
      <c r="M805" s="1">
        <v>43668</v>
      </c>
      <c r="N805" t="s">
        <v>67</v>
      </c>
      <c r="O805" t="s">
        <v>30</v>
      </c>
      <c r="P805">
        <v>22</v>
      </c>
      <c r="Q805" t="s">
        <v>53</v>
      </c>
      <c r="R805" t="s">
        <v>100</v>
      </c>
      <c r="S805">
        <v>6</v>
      </c>
      <c r="T805">
        <v>2019</v>
      </c>
      <c r="U805" t="s">
        <v>118</v>
      </c>
    </row>
    <row r="806" spans="1:21" x14ac:dyDescent="0.3">
      <c r="A806" t="s">
        <v>2470</v>
      </c>
      <c r="B806">
        <v>31</v>
      </c>
      <c r="C806" t="s">
        <v>22</v>
      </c>
      <c r="D806" t="s">
        <v>23</v>
      </c>
      <c r="E806" t="s">
        <v>57</v>
      </c>
      <c r="F806" s="1">
        <v>44969</v>
      </c>
      <c r="G806" t="s">
        <v>2471</v>
      </c>
      <c r="H806" t="s">
        <v>2472</v>
      </c>
      <c r="I806" t="s">
        <v>82</v>
      </c>
      <c r="J806">
        <v>15327.74</v>
      </c>
      <c r="K806">
        <v>397</v>
      </c>
      <c r="L806" t="s">
        <v>28</v>
      </c>
      <c r="M806" s="1">
        <v>44984</v>
      </c>
      <c r="N806" t="s">
        <v>67</v>
      </c>
      <c r="O806" t="s">
        <v>42</v>
      </c>
      <c r="P806">
        <v>15</v>
      </c>
      <c r="Q806" t="s">
        <v>31</v>
      </c>
      <c r="R806" t="s">
        <v>32</v>
      </c>
      <c r="S806">
        <v>2</v>
      </c>
      <c r="T806">
        <v>2023</v>
      </c>
      <c r="U806" t="s">
        <v>278</v>
      </c>
    </row>
    <row r="807" spans="1:21" x14ac:dyDescent="0.3">
      <c r="A807" t="s">
        <v>2473</v>
      </c>
      <c r="B807">
        <v>63</v>
      </c>
      <c r="C807" t="s">
        <v>47</v>
      </c>
      <c r="D807" t="s">
        <v>76</v>
      </c>
      <c r="E807" t="s">
        <v>36</v>
      </c>
      <c r="F807" s="1">
        <v>43853</v>
      </c>
      <c r="G807" t="s">
        <v>2474</v>
      </c>
      <c r="H807" t="s">
        <v>2475</v>
      </c>
      <c r="I807" t="s">
        <v>82</v>
      </c>
      <c r="J807">
        <v>31457.8</v>
      </c>
      <c r="K807">
        <v>316</v>
      </c>
      <c r="L807" t="s">
        <v>60</v>
      </c>
      <c r="M807" s="1">
        <v>43862</v>
      </c>
      <c r="N807" t="s">
        <v>52</v>
      </c>
      <c r="O807" t="s">
        <v>30</v>
      </c>
      <c r="P807">
        <v>9</v>
      </c>
      <c r="Q807" t="s">
        <v>43</v>
      </c>
      <c r="R807" t="s">
        <v>44</v>
      </c>
      <c r="S807">
        <v>1</v>
      </c>
      <c r="T807">
        <v>2020</v>
      </c>
      <c r="U807" t="s">
        <v>33</v>
      </c>
    </row>
    <row r="808" spans="1:21" x14ac:dyDescent="0.3">
      <c r="A808" t="s">
        <v>2476</v>
      </c>
      <c r="B808">
        <v>78</v>
      </c>
      <c r="C808" t="s">
        <v>22</v>
      </c>
      <c r="D808" t="s">
        <v>64</v>
      </c>
      <c r="E808" t="s">
        <v>70</v>
      </c>
      <c r="F808" s="1">
        <v>44890</v>
      </c>
      <c r="G808" t="s">
        <v>2477</v>
      </c>
      <c r="H808" t="s">
        <v>2478</v>
      </c>
      <c r="I808" t="s">
        <v>51</v>
      </c>
      <c r="J808">
        <v>21875.08</v>
      </c>
      <c r="K808">
        <v>137</v>
      </c>
      <c r="L808" t="s">
        <v>60</v>
      </c>
      <c r="M808" s="1">
        <v>44906</v>
      </c>
      <c r="N808" t="s">
        <v>67</v>
      </c>
      <c r="O808" t="s">
        <v>42</v>
      </c>
      <c r="P808">
        <v>16</v>
      </c>
      <c r="Q808" t="s">
        <v>53</v>
      </c>
      <c r="R808" t="s">
        <v>32</v>
      </c>
      <c r="S808">
        <v>11</v>
      </c>
      <c r="T808">
        <v>2022</v>
      </c>
      <c r="U808" t="s">
        <v>62</v>
      </c>
    </row>
    <row r="809" spans="1:21" x14ac:dyDescent="0.3">
      <c r="A809" t="s">
        <v>2479</v>
      </c>
      <c r="B809">
        <v>25</v>
      </c>
      <c r="C809" t="s">
        <v>47</v>
      </c>
      <c r="D809" t="s">
        <v>35</v>
      </c>
      <c r="E809" t="s">
        <v>57</v>
      </c>
      <c r="F809" s="1">
        <v>44237</v>
      </c>
      <c r="G809" t="s">
        <v>2480</v>
      </c>
      <c r="H809" t="s">
        <v>2481</v>
      </c>
      <c r="I809" t="s">
        <v>51</v>
      </c>
      <c r="J809">
        <v>49635.31</v>
      </c>
      <c r="K809">
        <v>138</v>
      </c>
      <c r="L809" t="s">
        <v>60</v>
      </c>
      <c r="M809" s="1">
        <v>44244</v>
      </c>
      <c r="N809" t="s">
        <v>99</v>
      </c>
      <c r="O809" t="s">
        <v>30</v>
      </c>
      <c r="P809">
        <v>7</v>
      </c>
      <c r="Q809" t="s">
        <v>31</v>
      </c>
      <c r="R809" t="s">
        <v>44</v>
      </c>
      <c r="S809">
        <v>2</v>
      </c>
      <c r="T809">
        <v>2021</v>
      </c>
      <c r="U809" t="s">
        <v>278</v>
      </c>
    </row>
    <row r="810" spans="1:21" x14ac:dyDescent="0.3">
      <c r="A810" t="s">
        <v>2482</v>
      </c>
      <c r="B810">
        <v>66</v>
      </c>
      <c r="C810" t="s">
        <v>22</v>
      </c>
      <c r="D810" t="s">
        <v>76</v>
      </c>
      <c r="E810" t="s">
        <v>24</v>
      </c>
      <c r="F810" s="1">
        <v>44956</v>
      </c>
      <c r="G810" t="s">
        <v>2483</v>
      </c>
      <c r="H810" t="s">
        <v>2484</v>
      </c>
      <c r="I810" t="s">
        <v>39</v>
      </c>
      <c r="J810">
        <v>41413.81</v>
      </c>
      <c r="K810">
        <v>323</v>
      </c>
      <c r="L810" t="s">
        <v>40</v>
      </c>
      <c r="M810" s="1">
        <v>44984</v>
      </c>
      <c r="N810" t="s">
        <v>41</v>
      </c>
      <c r="O810" t="s">
        <v>42</v>
      </c>
      <c r="P810">
        <v>28</v>
      </c>
      <c r="Q810" t="s">
        <v>43</v>
      </c>
      <c r="R810" t="s">
        <v>44</v>
      </c>
      <c r="S810">
        <v>1</v>
      </c>
      <c r="T810">
        <v>2023</v>
      </c>
      <c r="U810" t="s">
        <v>33</v>
      </c>
    </row>
    <row r="811" spans="1:21" x14ac:dyDescent="0.3">
      <c r="A811" t="s">
        <v>2485</v>
      </c>
      <c r="B811">
        <v>58</v>
      </c>
      <c r="C811" t="s">
        <v>22</v>
      </c>
      <c r="D811" t="s">
        <v>56</v>
      </c>
      <c r="E811" t="s">
        <v>115</v>
      </c>
      <c r="F811" s="1">
        <v>43701</v>
      </c>
      <c r="G811" t="s">
        <v>2486</v>
      </c>
      <c r="H811" t="s">
        <v>2487</v>
      </c>
      <c r="I811" t="s">
        <v>51</v>
      </c>
      <c r="J811">
        <v>16352.59</v>
      </c>
      <c r="K811">
        <v>478</v>
      </c>
      <c r="L811" t="s">
        <v>28</v>
      </c>
      <c r="M811" s="1">
        <v>43725</v>
      </c>
      <c r="N811" t="s">
        <v>52</v>
      </c>
      <c r="O811" t="s">
        <v>30</v>
      </c>
      <c r="P811">
        <v>24</v>
      </c>
      <c r="Q811" t="s">
        <v>43</v>
      </c>
      <c r="R811" t="s">
        <v>32</v>
      </c>
      <c r="S811">
        <v>8</v>
      </c>
      <c r="T811">
        <v>2019</v>
      </c>
      <c r="U811" t="s">
        <v>45</v>
      </c>
    </row>
    <row r="812" spans="1:21" x14ac:dyDescent="0.3">
      <c r="A812" t="s">
        <v>2488</v>
      </c>
      <c r="B812">
        <v>28</v>
      </c>
      <c r="C812" t="s">
        <v>47</v>
      </c>
      <c r="D812" t="s">
        <v>35</v>
      </c>
      <c r="E812" t="s">
        <v>115</v>
      </c>
      <c r="F812" s="1">
        <v>45327</v>
      </c>
      <c r="G812" t="s">
        <v>2489</v>
      </c>
      <c r="H812" t="s">
        <v>2490</v>
      </c>
      <c r="I812" t="s">
        <v>73</v>
      </c>
      <c r="J812">
        <v>1805.52</v>
      </c>
      <c r="K812">
        <v>205</v>
      </c>
      <c r="L812" t="s">
        <v>28</v>
      </c>
      <c r="M812" s="1">
        <v>45328</v>
      </c>
      <c r="N812" t="s">
        <v>67</v>
      </c>
      <c r="O812" t="s">
        <v>30</v>
      </c>
      <c r="P812">
        <v>1</v>
      </c>
      <c r="Q812" t="s">
        <v>31</v>
      </c>
      <c r="R812" t="s">
        <v>100</v>
      </c>
      <c r="S812">
        <v>2</v>
      </c>
      <c r="T812">
        <v>2024</v>
      </c>
      <c r="U812" t="s">
        <v>278</v>
      </c>
    </row>
    <row r="813" spans="1:21" x14ac:dyDescent="0.3">
      <c r="A813" t="s">
        <v>2491</v>
      </c>
      <c r="B813">
        <v>18</v>
      </c>
      <c r="C813" t="s">
        <v>47</v>
      </c>
      <c r="D813" t="s">
        <v>56</v>
      </c>
      <c r="E813" t="s">
        <v>115</v>
      </c>
      <c r="F813" s="1">
        <v>44438</v>
      </c>
      <c r="G813" t="s">
        <v>2492</v>
      </c>
      <c r="H813" t="s">
        <v>2493</v>
      </c>
      <c r="I813" t="s">
        <v>27</v>
      </c>
      <c r="J813">
        <v>38363.26</v>
      </c>
      <c r="K813">
        <v>286</v>
      </c>
      <c r="L813" t="s">
        <v>40</v>
      </c>
      <c r="M813" s="1">
        <v>44464</v>
      </c>
      <c r="N813" t="s">
        <v>67</v>
      </c>
      <c r="O813" t="s">
        <v>42</v>
      </c>
      <c r="P813">
        <v>26</v>
      </c>
      <c r="Q813" t="s">
        <v>31</v>
      </c>
      <c r="R813" t="s">
        <v>44</v>
      </c>
      <c r="S813">
        <v>8</v>
      </c>
      <c r="T813">
        <v>2021</v>
      </c>
      <c r="U813" t="s">
        <v>45</v>
      </c>
    </row>
    <row r="814" spans="1:21" x14ac:dyDescent="0.3">
      <c r="A814" t="s">
        <v>2494</v>
      </c>
      <c r="B814">
        <v>46</v>
      </c>
      <c r="C814" t="s">
        <v>47</v>
      </c>
      <c r="D814" t="s">
        <v>127</v>
      </c>
      <c r="E814" t="s">
        <v>70</v>
      </c>
      <c r="F814" s="1">
        <v>44568</v>
      </c>
      <c r="G814" t="s">
        <v>2495</v>
      </c>
      <c r="H814" t="s">
        <v>2496</v>
      </c>
      <c r="I814" t="s">
        <v>82</v>
      </c>
      <c r="J814">
        <v>32746.560000000001</v>
      </c>
      <c r="K814">
        <v>416</v>
      </c>
      <c r="L814" t="s">
        <v>28</v>
      </c>
      <c r="M814" s="1">
        <v>44586</v>
      </c>
      <c r="N814" t="s">
        <v>41</v>
      </c>
      <c r="O814" t="s">
        <v>30</v>
      </c>
      <c r="P814">
        <v>18</v>
      </c>
      <c r="Q814" t="s">
        <v>68</v>
      </c>
      <c r="R814" t="s">
        <v>44</v>
      </c>
      <c r="S814">
        <v>1</v>
      </c>
      <c r="T814">
        <v>2022</v>
      </c>
      <c r="U814" t="s">
        <v>33</v>
      </c>
    </row>
    <row r="815" spans="1:21" x14ac:dyDescent="0.3">
      <c r="A815" t="s">
        <v>2497</v>
      </c>
      <c r="B815">
        <v>44</v>
      </c>
      <c r="C815" t="s">
        <v>22</v>
      </c>
      <c r="D815" t="s">
        <v>64</v>
      </c>
      <c r="E815" t="s">
        <v>115</v>
      </c>
      <c r="F815" s="1">
        <v>45177</v>
      </c>
      <c r="G815" t="s">
        <v>2498</v>
      </c>
      <c r="H815" t="s">
        <v>2499</v>
      </c>
      <c r="I815" t="s">
        <v>82</v>
      </c>
      <c r="J815">
        <v>36649.32</v>
      </c>
      <c r="K815">
        <v>114</v>
      </c>
      <c r="L815" t="s">
        <v>60</v>
      </c>
      <c r="M815" s="1">
        <v>45205</v>
      </c>
      <c r="N815" t="s">
        <v>52</v>
      </c>
      <c r="O815" t="s">
        <v>42</v>
      </c>
      <c r="P815">
        <v>28</v>
      </c>
      <c r="Q815" t="s">
        <v>68</v>
      </c>
      <c r="R815" t="s">
        <v>44</v>
      </c>
      <c r="S815">
        <v>9</v>
      </c>
      <c r="T815">
        <v>2023</v>
      </c>
      <c r="U815" t="s">
        <v>54</v>
      </c>
    </row>
    <row r="816" spans="1:21" x14ac:dyDescent="0.3">
      <c r="A816" t="s">
        <v>2500</v>
      </c>
      <c r="B816">
        <v>52</v>
      </c>
      <c r="C816" t="s">
        <v>47</v>
      </c>
      <c r="D816" t="s">
        <v>127</v>
      </c>
      <c r="E816" t="s">
        <v>24</v>
      </c>
      <c r="F816" s="1">
        <v>44476</v>
      </c>
      <c r="G816" t="s">
        <v>2501</v>
      </c>
      <c r="H816" t="s">
        <v>2502</v>
      </c>
      <c r="I816" t="s">
        <v>73</v>
      </c>
      <c r="J816">
        <v>3288.13</v>
      </c>
      <c r="K816">
        <v>215</v>
      </c>
      <c r="L816" t="s">
        <v>60</v>
      </c>
      <c r="M816" s="1">
        <v>44479</v>
      </c>
      <c r="N816" t="s">
        <v>29</v>
      </c>
      <c r="O816" t="s">
        <v>61</v>
      </c>
      <c r="P816">
        <v>3</v>
      </c>
      <c r="Q816" t="s">
        <v>68</v>
      </c>
      <c r="R816" t="s">
        <v>100</v>
      </c>
      <c r="S816">
        <v>10</v>
      </c>
      <c r="T816">
        <v>2021</v>
      </c>
      <c r="U816" t="s">
        <v>110</v>
      </c>
    </row>
    <row r="817" spans="1:21" x14ac:dyDescent="0.3">
      <c r="A817" t="s">
        <v>2503</v>
      </c>
      <c r="B817">
        <v>24</v>
      </c>
      <c r="C817" t="s">
        <v>47</v>
      </c>
      <c r="D817" t="s">
        <v>127</v>
      </c>
      <c r="E817" t="s">
        <v>24</v>
      </c>
      <c r="F817" s="1">
        <v>43890</v>
      </c>
      <c r="G817" t="s">
        <v>2504</v>
      </c>
      <c r="H817" t="s">
        <v>2505</v>
      </c>
      <c r="I817" t="s">
        <v>73</v>
      </c>
      <c r="J817">
        <v>32993.49</v>
      </c>
      <c r="K817">
        <v>151</v>
      </c>
      <c r="L817" t="s">
        <v>28</v>
      </c>
      <c r="M817" s="1">
        <v>43907</v>
      </c>
      <c r="N817" t="s">
        <v>99</v>
      </c>
      <c r="O817" t="s">
        <v>30</v>
      </c>
      <c r="P817">
        <v>17</v>
      </c>
      <c r="Q817" t="s">
        <v>31</v>
      </c>
      <c r="R817" t="s">
        <v>44</v>
      </c>
      <c r="S817">
        <v>2</v>
      </c>
      <c r="T817">
        <v>2020</v>
      </c>
      <c r="U817" t="s">
        <v>278</v>
      </c>
    </row>
    <row r="818" spans="1:21" x14ac:dyDescent="0.3">
      <c r="A818" t="s">
        <v>2506</v>
      </c>
      <c r="B818">
        <v>53</v>
      </c>
      <c r="C818" t="s">
        <v>22</v>
      </c>
      <c r="D818" t="s">
        <v>35</v>
      </c>
      <c r="E818" t="s">
        <v>36</v>
      </c>
      <c r="F818" s="1">
        <v>43683</v>
      </c>
      <c r="G818" t="s">
        <v>2507</v>
      </c>
      <c r="H818" t="s">
        <v>2508</v>
      </c>
      <c r="I818" t="s">
        <v>73</v>
      </c>
      <c r="J818">
        <v>3338.22</v>
      </c>
      <c r="K818">
        <v>362</v>
      </c>
      <c r="L818" t="s">
        <v>40</v>
      </c>
      <c r="M818" s="1">
        <v>43711</v>
      </c>
      <c r="N818" t="s">
        <v>99</v>
      </c>
      <c r="O818" t="s">
        <v>30</v>
      </c>
      <c r="P818">
        <v>28</v>
      </c>
      <c r="Q818" t="s">
        <v>68</v>
      </c>
      <c r="R818" t="s">
        <v>100</v>
      </c>
      <c r="S818">
        <v>8</v>
      </c>
      <c r="T818">
        <v>2019</v>
      </c>
      <c r="U818" t="s">
        <v>45</v>
      </c>
    </row>
    <row r="819" spans="1:21" x14ac:dyDescent="0.3">
      <c r="A819" t="s">
        <v>2509</v>
      </c>
      <c r="B819">
        <v>46</v>
      </c>
      <c r="C819" t="s">
        <v>47</v>
      </c>
      <c r="D819" t="s">
        <v>48</v>
      </c>
      <c r="E819" t="s">
        <v>36</v>
      </c>
      <c r="F819" s="1">
        <v>43683</v>
      </c>
      <c r="G819" t="s">
        <v>2173</v>
      </c>
      <c r="H819" t="s">
        <v>2510</v>
      </c>
      <c r="I819" t="s">
        <v>27</v>
      </c>
      <c r="J819">
        <v>21401.52</v>
      </c>
      <c r="K819">
        <v>292</v>
      </c>
      <c r="L819" t="s">
        <v>28</v>
      </c>
      <c r="M819" s="1">
        <v>43686</v>
      </c>
      <c r="N819" t="s">
        <v>67</v>
      </c>
      <c r="O819" t="s">
        <v>61</v>
      </c>
      <c r="P819">
        <v>3</v>
      </c>
      <c r="Q819" t="s">
        <v>68</v>
      </c>
      <c r="R819" t="s">
        <v>32</v>
      </c>
      <c r="S819">
        <v>8</v>
      </c>
      <c r="T819">
        <v>2019</v>
      </c>
      <c r="U819" t="s">
        <v>45</v>
      </c>
    </row>
    <row r="820" spans="1:21" x14ac:dyDescent="0.3">
      <c r="A820" t="s">
        <v>2511</v>
      </c>
      <c r="B820">
        <v>72</v>
      </c>
      <c r="C820" t="s">
        <v>47</v>
      </c>
      <c r="D820" t="s">
        <v>56</v>
      </c>
      <c r="E820" t="s">
        <v>70</v>
      </c>
      <c r="F820" s="1">
        <v>44536</v>
      </c>
      <c r="G820" t="s">
        <v>1368</v>
      </c>
      <c r="H820" t="s">
        <v>2512</v>
      </c>
      <c r="I820" t="s">
        <v>27</v>
      </c>
      <c r="J820">
        <v>35828.32</v>
      </c>
      <c r="K820">
        <v>248</v>
      </c>
      <c r="L820" t="s">
        <v>40</v>
      </c>
      <c r="M820" s="1">
        <v>44542</v>
      </c>
      <c r="N820" t="s">
        <v>52</v>
      </c>
      <c r="O820" t="s">
        <v>42</v>
      </c>
      <c r="P820">
        <v>6</v>
      </c>
      <c r="Q820" t="s">
        <v>53</v>
      </c>
      <c r="R820" t="s">
        <v>44</v>
      </c>
      <c r="S820">
        <v>12</v>
      </c>
      <c r="T820">
        <v>2021</v>
      </c>
      <c r="U820" t="s">
        <v>74</v>
      </c>
    </row>
    <row r="821" spans="1:21" x14ac:dyDescent="0.3">
      <c r="A821" t="s">
        <v>2513</v>
      </c>
      <c r="B821">
        <v>54</v>
      </c>
      <c r="C821" t="s">
        <v>47</v>
      </c>
      <c r="D821" t="s">
        <v>48</v>
      </c>
      <c r="E821" t="s">
        <v>70</v>
      </c>
      <c r="F821" s="1">
        <v>43970</v>
      </c>
      <c r="G821" t="s">
        <v>2514</v>
      </c>
      <c r="H821" t="s">
        <v>2515</v>
      </c>
      <c r="I821" t="s">
        <v>73</v>
      </c>
      <c r="J821">
        <v>14171.99</v>
      </c>
      <c r="K821">
        <v>297</v>
      </c>
      <c r="L821" t="s">
        <v>60</v>
      </c>
      <c r="M821" s="1">
        <v>43993</v>
      </c>
      <c r="N821" t="s">
        <v>29</v>
      </c>
      <c r="O821" t="s">
        <v>42</v>
      </c>
      <c r="P821">
        <v>23</v>
      </c>
      <c r="Q821" t="s">
        <v>68</v>
      </c>
      <c r="R821" t="s">
        <v>32</v>
      </c>
      <c r="S821">
        <v>5</v>
      </c>
      <c r="T821">
        <v>2020</v>
      </c>
      <c r="U821" t="s">
        <v>90</v>
      </c>
    </row>
    <row r="822" spans="1:21" x14ac:dyDescent="0.3">
      <c r="A822" t="s">
        <v>2516</v>
      </c>
      <c r="B822">
        <v>73</v>
      </c>
      <c r="C822" t="s">
        <v>22</v>
      </c>
      <c r="D822" t="s">
        <v>64</v>
      </c>
      <c r="E822" t="s">
        <v>96</v>
      </c>
      <c r="F822" s="1">
        <v>43826</v>
      </c>
      <c r="G822" t="s">
        <v>2517</v>
      </c>
      <c r="H822" t="s">
        <v>2518</v>
      </c>
      <c r="I822" t="s">
        <v>39</v>
      </c>
      <c r="J822">
        <v>30283.17</v>
      </c>
      <c r="K822">
        <v>311</v>
      </c>
      <c r="L822" t="s">
        <v>40</v>
      </c>
      <c r="M822" s="1">
        <v>43828</v>
      </c>
      <c r="N822" t="s">
        <v>99</v>
      </c>
      <c r="O822" t="s">
        <v>61</v>
      </c>
      <c r="P822">
        <v>2</v>
      </c>
      <c r="Q822" t="s">
        <v>53</v>
      </c>
      <c r="R822" t="s">
        <v>44</v>
      </c>
      <c r="S822">
        <v>12</v>
      </c>
      <c r="T822">
        <v>2019</v>
      </c>
      <c r="U822" t="s">
        <v>74</v>
      </c>
    </row>
    <row r="823" spans="1:21" x14ac:dyDescent="0.3">
      <c r="A823" t="s">
        <v>2519</v>
      </c>
      <c r="B823">
        <v>69</v>
      </c>
      <c r="C823" t="s">
        <v>47</v>
      </c>
      <c r="D823" t="s">
        <v>76</v>
      </c>
      <c r="E823" t="s">
        <v>24</v>
      </c>
      <c r="F823" s="1">
        <v>44716</v>
      </c>
      <c r="G823" t="s">
        <v>2520</v>
      </c>
      <c r="H823" t="s">
        <v>2521</v>
      </c>
      <c r="I823" t="s">
        <v>82</v>
      </c>
      <c r="J823">
        <v>31419.119999999999</v>
      </c>
      <c r="K823">
        <v>201</v>
      </c>
      <c r="L823" t="s">
        <v>28</v>
      </c>
      <c r="M823" s="1">
        <v>44725</v>
      </c>
      <c r="N823" t="s">
        <v>67</v>
      </c>
      <c r="O823" t="s">
        <v>30</v>
      </c>
      <c r="P823">
        <v>9</v>
      </c>
      <c r="Q823" t="s">
        <v>43</v>
      </c>
      <c r="R823" t="s">
        <v>44</v>
      </c>
      <c r="S823">
        <v>6</v>
      </c>
      <c r="T823">
        <v>2022</v>
      </c>
      <c r="U823" t="s">
        <v>118</v>
      </c>
    </row>
    <row r="824" spans="1:21" x14ac:dyDescent="0.3">
      <c r="A824" t="s">
        <v>2522</v>
      </c>
      <c r="B824">
        <v>32</v>
      </c>
      <c r="C824" t="s">
        <v>22</v>
      </c>
      <c r="D824" t="s">
        <v>56</v>
      </c>
      <c r="E824" t="s">
        <v>57</v>
      </c>
      <c r="F824" s="1">
        <v>44944</v>
      </c>
      <c r="G824" t="s">
        <v>2523</v>
      </c>
      <c r="H824" t="s">
        <v>2524</v>
      </c>
      <c r="I824" t="s">
        <v>51</v>
      </c>
      <c r="J824">
        <v>23734.85</v>
      </c>
      <c r="K824">
        <v>394</v>
      </c>
      <c r="L824" t="s">
        <v>40</v>
      </c>
      <c r="M824" s="1">
        <v>44960</v>
      </c>
      <c r="N824" t="s">
        <v>67</v>
      </c>
      <c r="O824" t="s">
        <v>30</v>
      </c>
      <c r="P824">
        <v>16</v>
      </c>
      <c r="Q824" t="s">
        <v>31</v>
      </c>
      <c r="R824" t="s">
        <v>32</v>
      </c>
      <c r="S824">
        <v>1</v>
      </c>
      <c r="T824">
        <v>2023</v>
      </c>
      <c r="U824" t="s">
        <v>33</v>
      </c>
    </row>
    <row r="825" spans="1:21" x14ac:dyDescent="0.3">
      <c r="A825" t="s">
        <v>2525</v>
      </c>
      <c r="B825">
        <v>29</v>
      </c>
      <c r="C825" t="s">
        <v>22</v>
      </c>
      <c r="D825" t="s">
        <v>127</v>
      </c>
      <c r="E825" t="s">
        <v>57</v>
      </c>
      <c r="F825" s="1">
        <v>45132</v>
      </c>
      <c r="G825" t="s">
        <v>2526</v>
      </c>
      <c r="H825" t="s">
        <v>2527</v>
      </c>
      <c r="I825" t="s">
        <v>51</v>
      </c>
      <c r="J825">
        <v>45417.64</v>
      </c>
      <c r="K825">
        <v>167</v>
      </c>
      <c r="L825" t="s">
        <v>60</v>
      </c>
      <c r="M825" s="1">
        <v>45135</v>
      </c>
      <c r="N825" t="s">
        <v>99</v>
      </c>
      <c r="O825" t="s">
        <v>42</v>
      </c>
      <c r="P825">
        <v>3</v>
      </c>
      <c r="Q825" t="s">
        <v>31</v>
      </c>
      <c r="R825" t="s">
        <v>44</v>
      </c>
      <c r="S825">
        <v>7</v>
      </c>
      <c r="T825">
        <v>2023</v>
      </c>
      <c r="U825" t="s">
        <v>86</v>
      </c>
    </row>
    <row r="826" spans="1:21" x14ac:dyDescent="0.3">
      <c r="A826" t="s">
        <v>2528</v>
      </c>
      <c r="B826">
        <v>82</v>
      </c>
      <c r="C826" t="s">
        <v>47</v>
      </c>
      <c r="D826" t="s">
        <v>35</v>
      </c>
      <c r="E826" t="s">
        <v>115</v>
      </c>
      <c r="F826" s="1">
        <v>44029</v>
      </c>
      <c r="G826" t="s">
        <v>2529</v>
      </c>
      <c r="H826" t="s">
        <v>2530</v>
      </c>
      <c r="I826" t="s">
        <v>27</v>
      </c>
      <c r="J826">
        <v>12822.78</v>
      </c>
      <c r="K826">
        <v>356</v>
      </c>
      <c r="L826" t="s">
        <v>28</v>
      </c>
      <c r="M826" s="1">
        <v>44052</v>
      </c>
      <c r="N826" t="s">
        <v>99</v>
      </c>
      <c r="O826" t="s">
        <v>42</v>
      </c>
      <c r="P826">
        <v>23</v>
      </c>
      <c r="Q826" t="s">
        <v>53</v>
      </c>
      <c r="R826" t="s">
        <v>32</v>
      </c>
      <c r="S826">
        <v>7</v>
      </c>
      <c r="T826">
        <v>2020</v>
      </c>
      <c r="U826" t="s">
        <v>86</v>
      </c>
    </row>
    <row r="827" spans="1:21" x14ac:dyDescent="0.3">
      <c r="A827" t="s">
        <v>2531</v>
      </c>
      <c r="B827">
        <v>19</v>
      </c>
      <c r="C827" t="s">
        <v>22</v>
      </c>
      <c r="D827" t="s">
        <v>149</v>
      </c>
      <c r="E827" t="s">
        <v>36</v>
      </c>
      <c r="F827" s="1">
        <v>44960</v>
      </c>
      <c r="G827" t="s">
        <v>2532</v>
      </c>
      <c r="H827" t="s">
        <v>2533</v>
      </c>
      <c r="I827" t="s">
        <v>51</v>
      </c>
      <c r="J827">
        <v>25856.22</v>
      </c>
      <c r="K827">
        <v>441</v>
      </c>
      <c r="L827" t="s">
        <v>40</v>
      </c>
      <c r="M827" s="1">
        <v>44980</v>
      </c>
      <c r="N827" t="s">
        <v>99</v>
      </c>
      <c r="O827" t="s">
        <v>61</v>
      </c>
      <c r="P827">
        <v>20</v>
      </c>
      <c r="Q827" t="s">
        <v>31</v>
      </c>
      <c r="R827" t="s">
        <v>32</v>
      </c>
      <c r="S827">
        <v>2</v>
      </c>
      <c r="T827">
        <v>2023</v>
      </c>
      <c r="U827" t="s">
        <v>278</v>
      </c>
    </row>
    <row r="828" spans="1:21" x14ac:dyDescent="0.3">
      <c r="A828" t="s">
        <v>2534</v>
      </c>
      <c r="B828">
        <v>63</v>
      </c>
      <c r="C828" t="s">
        <v>22</v>
      </c>
      <c r="D828" t="s">
        <v>48</v>
      </c>
      <c r="E828" t="s">
        <v>115</v>
      </c>
      <c r="F828" s="1">
        <v>44527</v>
      </c>
      <c r="G828" t="s">
        <v>2535</v>
      </c>
      <c r="H828" t="s">
        <v>2536</v>
      </c>
      <c r="I828" t="s">
        <v>73</v>
      </c>
      <c r="J828">
        <v>10443.68</v>
      </c>
      <c r="K828">
        <v>125</v>
      </c>
      <c r="L828" t="s">
        <v>60</v>
      </c>
      <c r="M828" s="1">
        <v>44538</v>
      </c>
      <c r="N828" t="s">
        <v>67</v>
      </c>
      <c r="O828" t="s">
        <v>30</v>
      </c>
      <c r="P828">
        <v>11</v>
      </c>
      <c r="Q828" t="s">
        <v>43</v>
      </c>
      <c r="R828" t="s">
        <v>32</v>
      </c>
      <c r="S828">
        <v>11</v>
      </c>
      <c r="T828">
        <v>2021</v>
      </c>
      <c r="U828" t="s">
        <v>62</v>
      </c>
    </row>
    <row r="829" spans="1:21" x14ac:dyDescent="0.3">
      <c r="A829" t="s">
        <v>2537</v>
      </c>
      <c r="B829">
        <v>38</v>
      </c>
      <c r="C829" t="s">
        <v>22</v>
      </c>
      <c r="D829" t="s">
        <v>48</v>
      </c>
      <c r="E829" t="s">
        <v>96</v>
      </c>
      <c r="F829" s="1">
        <v>44061</v>
      </c>
      <c r="G829" t="s">
        <v>2538</v>
      </c>
      <c r="H829" t="s">
        <v>2539</v>
      </c>
      <c r="I829" t="s">
        <v>27</v>
      </c>
      <c r="J829">
        <v>40606.46</v>
      </c>
      <c r="K829">
        <v>496</v>
      </c>
      <c r="L829" t="s">
        <v>40</v>
      </c>
      <c r="M829" s="1">
        <v>44067</v>
      </c>
      <c r="N829" t="s">
        <v>29</v>
      </c>
      <c r="O829" t="s">
        <v>42</v>
      </c>
      <c r="P829">
        <v>6</v>
      </c>
      <c r="Q829" t="s">
        <v>68</v>
      </c>
      <c r="R829" t="s">
        <v>44</v>
      </c>
      <c r="S829">
        <v>8</v>
      </c>
      <c r="T829">
        <v>2020</v>
      </c>
      <c r="U829" t="s">
        <v>45</v>
      </c>
    </row>
    <row r="830" spans="1:21" x14ac:dyDescent="0.3">
      <c r="A830" t="s">
        <v>2540</v>
      </c>
      <c r="B830">
        <v>74</v>
      </c>
      <c r="C830" t="s">
        <v>22</v>
      </c>
      <c r="D830" t="s">
        <v>127</v>
      </c>
      <c r="E830" t="s">
        <v>57</v>
      </c>
      <c r="F830" s="1">
        <v>43652</v>
      </c>
      <c r="G830" t="s">
        <v>2541</v>
      </c>
      <c r="H830" t="s">
        <v>2542</v>
      </c>
      <c r="I830" t="s">
        <v>39</v>
      </c>
      <c r="J830">
        <v>32535.45</v>
      </c>
      <c r="K830">
        <v>359</v>
      </c>
      <c r="L830" t="s">
        <v>40</v>
      </c>
      <c r="M830" s="1">
        <v>43679</v>
      </c>
      <c r="N830" t="s">
        <v>99</v>
      </c>
      <c r="O830" t="s">
        <v>30</v>
      </c>
      <c r="P830">
        <v>27</v>
      </c>
      <c r="Q830" t="s">
        <v>53</v>
      </c>
      <c r="R830" t="s">
        <v>44</v>
      </c>
      <c r="S830">
        <v>7</v>
      </c>
      <c r="T830">
        <v>2019</v>
      </c>
      <c r="U830" t="s">
        <v>86</v>
      </c>
    </row>
    <row r="831" spans="1:21" x14ac:dyDescent="0.3">
      <c r="A831" t="s">
        <v>2543</v>
      </c>
      <c r="B831">
        <v>38</v>
      </c>
      <c r="C831" t="s">
        <v>22</v>
      </c>
      <c r="D831" t="s">
        <v>23</v>
      </c>
      <c r="E831" t="s">
        <v>70</v>
      </c>
      <c r="F831" s="1">
        <v>45339</v>
      </c>
      <c r="G831" t="s">
        <v>2544</v>
      </c>
      <c r="H831" t="s">
        <v>2545</v>
      </c>
      <c r="I831" t="s">
        <v>73</v>
      </c>
      <c r="J831">
        <v>34557.29</v>
      </c>
      <c r="K831">
        <v>174</v>
      </c>
      <c r="L831" t="s">
        <v>40</v>
      </c>
      <c r="M831" s="1">
        <v>45341</v>
      </c>
      <c r="N831" t="s">
        <v>99</v>
      </c>
      <c r="O831" t="s">
        <v>30</v>
      </c>
      <c r="P831">
        <v>2</v>
      </c>
      <c r="Q831" t="s">
        <v>68</v>
      </c>
      <c r="R831" t="s">
        <v>44</v>
      </c>
      <c r="S831">
        <v>2</v>
      </c>
      <c r="T831">
        <v>2024</v>
      </c>
      <c r="U831" t="s">
        <v>278</v>
      </c>
    </row>
    <row r="832" spans="1:21" x14ac:dyDescent="0.3">
      <c r="A832" t="s">
        <v>2546</v>
      </c>
      <c r="B832">
        <v>53</v>
      </c>
      <c r="C832" t="s">
        <v>22</v>
      </c>
      <c r="D832" t="s">
        <v>76</v>
      </c>
      <c r="E832" t="s">
        <v>115</v>
      </c>
      <c r="F832" s="1">
        <v>44445</v>
      </c>
      <c r="G832" t="s">
        <v>2547</v>
      </c>
      <c r="H832" t="s">
        <v>2548</v>
      </c>
      <c r="I832" t="s">
        <v>51</v>
      </c>
      <c r="J832">
        <v>35116.71</v>
      </c>
      <c r="K832">
        <v>142</v>
      </c>
      <c r="L832" t="s">
        <v>40</v>
      </c>
      <c r="M832" s="1">
        <v>44474</v>
      </c>
      <c r="N832" t="s">
        <v>29</v>
      </c>
      <c r="O832" t="s">
        <v>30</v>
      </c>
      <c r="P832">
        <v>29</v>
      </c>
      <c r="Q832" t="s">
        <v>68</v>
      </c>
      <c r="R832" t="s">
        <v>44</v>
      </c>
      <c r="S832">
        <v>9</v>
      </c>
      <c r="T832">
        <v>2021</v>
      </c>
      <c r="U832" t="s">
        <v>54</v>
      </c>
    </row>
    <row r="833" spans="1:21" x14ac:dyDescent="0.3">
      <c r="A833" t="s">
        <v>2549</v>
      </c>
      <c r="B833">
        <v>36</v>
      </c>
      <c r="C833" t="s">
        <v>22</v>
      </c>
      <c r="D833" t="s">
        <v>64</v>
      </c>
      <c r="E833" t="s">
        <v>57</v>
      </c>
      <c r="F833" s="1">
        <v>44547</v>
      </c>
      <c r="G833" t="s">
        <v>2550</v>
      </c>
      <c r="H833" t="s">
        <v>2551</v>
      </c>
      <c r="I833" t="s">
        <v>27</v>
      </c>
      <c r="J833">
        <v>28270.3</v>
      </c>
      <c r="K833">
        <v>119</v>
      </c>
      <c r="L833" t="s">
        <v>60</v>
      </c>
      <c r="M833" s="1">
        <v>44568</v>
      </c>
      <c r="N833" t="s">
        <v>41</v>
      </c>
      <c r="O833" t="s">
        <v>42</v>
      </c>
      <c r="P833">
        <v>21</v>
      </c>
      <c r="Q833" t="s">
        <v>68</v>
      </c>
      <c r="R833" t="s">
        <v>32</v>
      </c>
      <c r="S833">
        <v>12</v>
      </c>
      <c r="T833">
        <v>2021</v>
      </c>
      <c r="U833" t="s">
        <v>74</v>
      </c>
    </row>
    <row r="834" spans="1:21" x14ac:dyDescent="0.3">
      <c r="A834" t="s">
        <v>2552</v>
      </c>
      <c r="B834">
        <v>67</v>
      </c>
      <c r="C834" t="s">
        <v>47</v>
      </c>
      <c r="D834" t="s">
        <v>35</v>
      </c>
      <c r="E834" t="s">
        <v>115</v>
      </c>
      <c r="F834" s="1">
        <v>44824</v>
      </c>
      <c r="G834" t="s">
        <v>2553</v>
      </c>
      <c r="H834" t="s">
        <v>2554</v>
      </c>
      <c r="I834" t="s">
        <v>27</v>
      </c>
      <c r="J834">
        <v>47734.99</v>
      </c>
      <c r="K834">
        <v>143</v>
      </c>
      <c r="L834" t="s">
        <v>40</v>
      </c>
      <c r="M834" s="1">
        <v>44841</v>
      </c>
      <c r="N834" t="s">
        <v>52</v>
      </c>
      <c r="O834" t="s">
        <v>61</v>
      </c>
      <c r="P834">
        <v>17</v>
      </c>
      <c r="Q834" t="s">
        <v>43</v>
      </c>
      <c r="R834" t="s">
        <v>44</v>
      </c>
      <c r="S834">
        <v>9</v>
      </c>
      <c r="T834">
        <v>2022</v>
      </c>
      <c r="U834" t="s">
        <v>54</v>
      </c>
    </row>
    <row r="835" spans="1:21" x14ac:dyDescent="0.3">
      <c r="A835" t="s">
        <v>2555</v>
      </c>
      <c r="B835">
        <v>63</v>
      </c>
      <c r="C835" t="s">
        <v>22</v>
      </c>
      <c r="D835" t="s">
        <v>76</v>
      </c>
      <c r="E835" t="s">
        <v>70</v>
      </c>
      <c r="F835" s="1">
        <v>44543</v>
      </c>
      <c r="G835" t="s">
        <v>2556</v>
      </c>
      <c r="H835" t="s">
        <v>2557</v>
      </c>
      <c r="I835" t="s">
        <v>82</v>
      </c>
      <c r="J835">
        <v>19176.259999999998</v>
      </c>
      <c r="K835">
        <v>452</v>
      </c>
      <c r="L835" t="s">
        <v>60</v>
      </c>
      <c r="M835" s="1">
        <v>44550</v>
      </c>
      <c r="N835" t="s">
        <v>67</v>
      </c>
      <c r="O835" t="s">
        <v>42</v>
      </c>
      <c r="P835">
        <v>7</v>
      </c>
      <c r="Q835" t="s">
        <v>43</v>
      </c>
      <c r="R835" t="s">
        <v>32</v>
      </c>
      <c r="S835">
        <v>12</v>
      </c>
      <c r="T835">
        <v>2021</v>
      </c>
      <c r="U835" t="s">
        <v>74</v>
      </c>
    </row>
    <row r="836" spans="1:21" x14ac:dyDescent="0.3">
      <c r="A836" t="s">
        <v>2558</v>
      </c>
      <c r="B836">
        <v>39</v>
      </c>
      <c r="C836" t="s">
        <v>22</v>
      </c>
      <c r="D836" t="s">
        <v>35</v>
      </c>
      <c r="E836" t="s">
        <v>115</v>
      </c>
      <c r="F836" s="1">
        <v>44481</v>
      </c>
      <c r="G836" t="s">
        <v>2559</v>
      </c>
      <c r="H836" t="s">
        <v>2560</v>
      </c>
      <c r="I836" t="s">
        <v>27</v>
      </c>
      <c r="J836">
        <v>8731.48</v>
      </c>
      <c r="K836">
        <v>219</v>
      </c>
      <c r="L836" t="s">
        <v>40</v>
      </c>
      <c r="M836" s="1">
        <v>44496</v>
      </c>
      <c r="N836" t="s">
        <v>41</v>
      </c>
      <c r="O836" t="s">
        <v>30</v>
      </c>
      <c r="P836">
        <v>15</v>
      </c>
      <c r="Q836" t="s">
        <v>68</v>
      </c>
      <c r="R836" t="s">
        <v>100</v>
      </c>
      <c r="S836">
        <v>10</v>
      </c>
      <c r="T836">
        <v>2021</v>
      </c>
      <c r="U836" t="s">
        <v>110</v>
      </c>
    </row>
    <row r="837" spans="1:21" x14ac:dyDescent="0.3">
      <c r="A837" t="s">
        <v>2561</v>
      </c>
      <c r="B837">
        <v>55</v>
      </c>
      <c r="C837" t="s">
        <v>22</v>
      </c>
      <c r="D837" t="s">
        <v>149</v>
      </c>
      <c r="E837" t="s">
        <v>70</v>
      </c>
      <c r="F837" s="1">
        <v>45146</v>
      </c>
      <c r="G837" t="s">
        <v>2562</v>
      </c>
      <c r="H837" t="s">
        <v>2563</v>
      </c>
      <c r="I837" t="s">
        <v>39</v>
      </c>
      <c r="J837">
        <v>19249.689999999999</v>
      </c>
      <c r="K837">
        <v>107</v>
      </c>
      <c r="L837" t="s">
        <v>40</v>
      </c>
      <c r="M837" s="1">
        <v>45159</v>
      </c>
      <c r="N837" t="s">
        <v>52</v>
      </c>
      <c r="O837" t="s">
        <v>61</v>
      </c>
      <c r="P837">
        <v>13</v>
      </c>
      <c r="Q837" t="s">
        <v>68</v>
      </c>
      <c r="R837" t="s">
        <v>32</v>
      </c>
      <c r="S837">
        <v>8</v>
      </c>
      <c r="T837">
        <v>2023</v>
      </c>
      <c r="U837" t="s">
        <v>45</v>
      </c>
    </row>
    <row r="838" spans="1:21" x14ac:dyDescent="0.3">
      <c r="A838" t="s">
        <v>2564</v>
      </c>
      <c r="B838">
        <v>80</v>
      </c>
      <c r="C838" t="s">
        <v>22</v>
      </c>
      <c r="D838" t="s">
        <v>76</v>
      </c>
      <c r="E838" t="s">
        <v>36</v>
      </c>
      <c r="F838" s="1">
        <v>43784</v>
      </c>
      <c r="G838" t="s">
        <v>2565</v>
      </c>
      <c r="H838" t="s">
        <v>2566</v>
      </c>
      <c r="I838" t="s">
        <v>51</v>
      </c>
      <c r="J838">
        <v>22758.639999999999</v>
      </c>
      <c r="K838">
        <v>170</v>
      </c>
      <c r="L838" t="s">
        <v>60</v>
      </c>
      <c r="M838" s="1">
        <v>43812</v>
      </c>
      <c r="N838" t="s">
        <v>52</v>
      </c>
      <c r="O838" t="s">
        <v>42</v>
      </c>
      <c r="P838">
        <v>28</v>
      </c>
      <c r="Q838" t="s">
        <v>53</v>
      </c>
      <c r="R838" t="s">
        <v>32</v>
      </c>
      <c r="S838">
        <v>11</v>
      </c>
      <c r="T838">
        <v>2019</v>
      </c>
      <c r="U838" t="s">
        <v>62</v>
      </c>
    </row>
    <row r="839" spans="1:21" x14ac:dyDescent="0.3">
      <c r="A839" t="s">
        <v>2567</v>
      </c>
      <c r="B839">
        <v>18</v>
      </c>
      <c r="C839" t="s">
        <v>47</v>
      </c>
      <c r="D839" t="s">
        <v>23</v>
      </c>
      <c r="E839" t="s">
        <v>70</v>
      </c>
      <c r="F839" s="1">
        <v>44547</v>
      </c>
      <c r="G839" t="s">
        <v>2568</v>
      </c>
      <c r="H839" t="s">
        <v>2569</v>
      </c>
      <c r="I839" t="s">
        <v>27</v>
      </c>
      <c r="J839">
        <v>20929.07</v>
      </c>
      <c r="K839">
        <v>135</v>
      </c>
      <c r="L839" t="s">
        <v>40</v>
      </c>
      <c r="M839" s="1">
        <v>44556</v>
      </c>
      <c r="N839" t="s">
        <v>52</v>
      </c>
      <c r="O839" t="s">
        <v>30</v>
      </c>
      <c r="P839">
        <v>9</v>
      </c>
      <c r="Q839" t="s">
        <v>31</v>
      </c>
      <c r="R839" t="s">
        <v>32</v>
      </c>
      <c r="S839">
        <v>12</v>
      </c>
      <c r="T839">
        <v>2021</v>
      </c>
      <c r="U839" t="s">
        <v>74</v>
      </c>
    </row>
    <row r="840" spans="1:21" x14ac:dyDescent="0.3">
      <c r="A840" t="s">
        <v>2570</v>
      </c>
      <c r="B840">
        <v>41</v>
      </c>
      <c r="C840" t="s">
        <v>22</v>
      </c>
      <c r="D840" t="s">
        <v>56</v>
      </c>
      <c r="E840" t="s">
        <v>24</v>
      </c>
      <c r="F840" s="1">
        <v>44873</v>
      </c>
      <c r="G840" t="s">
        <v>2571</v>
      </c>
      <c r="H840" t="s">
        <v>2572</v>
      </c>
      <c r="I840" t="s">
        <v>82</v>
      </c>
      <c r="J840">
        <v>3899.86</v>
      </c>
      <c r="K840">
        <v>234</v>
      </c>
      <c r="L840" t="s">
        <v>40</v>
      </c>
      <c r="M840" s="1">
        <v>44876</v>
      </c>
      <c r="N840" t="s">
        <v>67</v>
      </c>
      <c r="O840" t="s">
        <v>61</v>
      </c>
      <c r="P840">
        <v>3</v>
      </c>
      <c r="Q840" t="s">
        <v>68</v>
      </c>
      <c r="R840" t="s">
        <v>100</v>
      </c>
      <c r="S840">
        <v>11</v>
      </c>
      <c r="T840">
        <v>2022</v>
      </c>
      <c r="U840" t="s">
        <v>62</v>
      </c>
    </row>
    <row r="841" spans="1:21" x14ac:dyDescent="0.3">
      <c r="A841" t="s">
        <v>2573</v>
      </c>
      <c r="B841">
        <v>81</v>
      </c>
      <c r="C841" t="s">
        <v>22</v>
      </c>
      <c r="D841" t="s">
        <v>35</v>
      </c>
      <c r="E841" t="s">
        <v>115</v>
      </c>
      <c r="F841" s="1">
        <v>43885</v>
      </c>
      <c r="G841" t="s">
        <v>2574</v>
      </c>
      <c r="H841" t="s">
        <v>2575</v>
      </c>
      <c r="I841" t="s">
        <v>27</v>
      </c>
      <c r="J841">
        <v>19698</v>
      </c>
      <c r="K841">
        <v>279</v>
      </c>
      <c r="L841" t="s">
        <v>60</v>
      </c>
      <c r="M841" s="1">
        <v>43906</v>
      </c>
      <c r="N841" t="s">
        <v>29</v>
      </c>
      <c r="O841" t="s">
        <v>61</v>
      </c>
      <c r="P841">
        <v>21</v>
      </c>
      <c r="Q841" t="s">
        <v>53</v>
      </c>
      <c r="R841" t="s">
        <v>32</v>
      </c>
      <c r="S841">
        <v>2</v>
      </c>
      <c r="T841">
        <v>2020</v>
      </c>
      <c r="U841" t="s">
        <v>278</v>
      </c>
    </row>
    <row r="842" spans="1:21" x14ac:dyDescent="0.3">
      <c r="A842" t="s">
        <v>2576</v>
      </c>
      <c r="B842">
        <v>66</v>
      </c>
      <c r="C842" t="s">
        <v>47</v>
      </c>
      <c r="D842" t="s">
        <v>56</v>
      </c>
      <c r="E842" t="s">
        <v>70</v>
      </c>
      <c r="F842" s="1">
        <v>44709</v>
      </c>
      <c r="G842" t="s">
        <v>2577</v>
      </c>
      <c r="H842" t="s">
        <v>2578</v>
      </c>
      <c r="I842" t="s">
        <v>51</v>
      </c>
      <c r="J842">
        <v>34060.269999999997</v>
      </c>
      <c r="K842">
        <v>111</v>
      </c>
      <c r="L842" t="s">
        <v>60</v>
      </c>
      <c r="M842" s="1">
        <v>44734</v>
      </c>
      <c r="N842" t="s">
        <v>99</v>
      </c>
      <c r="O842" t="s">
        <v>42</v>
      </c>
      <c r="P842">
        <v>25</v>
      </c>
      <c r="Q842" t="s">
        <v>43</v>
      </c>
      <c r="R842" t="s">
        <v>44</v>
      </c>
      <c r="S842">
        <v>5</v>
      </c>
      <c r="T842">
        <v>2022</v>
      </c>
      <c r="U842" t="s">
        <v>90</v>
      </c>
    </row>
    <row r="843" spans="1:21" x14ac:dyDescent="0.3">
      <c r="A843" t="s">
        <v>2579</v>
      </c>
      <c r="B843">
        <v>44</v>
      </c>
      <c r="C843" t="s">
        <v>22</v>
      </c>
      <c r="D843" t="s">
        <v>35</v>
      </c>
      <c r="E843" t="s">
        <v>96</v>
      </c>
      <c r="F843" s="1">
        <v>44807</v>
      </c>
      <c r="G843" t="s">
        <v>2580</v>
      </c>
      <c r="H843" t="s">
        <v>2581</v>
      </c>
      <c r="I843" t="s">
        <v>73</v>
      </c>
      <c r="J843">
        <v>40367.629999999997</v>
      </c>
      <c r="K843">
        <v>317</v>
      </c>
      <c r="L843" t="s">
        <v>60</v>
      </c>
      <c r="M843" s="1">
        <v>44834</v>
      </c>
      <c r="N843" t="s">
        <v>52</v>
      </c>
      <c r="O843" t="s">
        <v>42</v>
      </c>
      <c r="P843">
        <v>27</v>
      </c>
      <c r="Q843" t="s">
        <v>68</v>
      </c>
      <c r="R843" t="s">
        <v>44</v>
      </c>
      <c r="S843">
        <v>9</v>
      </c>
      <c r="T843">
        <v>2022</v>
      </c>
      <c r="U843" t="s">
        <v>54</v>
      </c>
    </row>
    <row r="844" spans="1:21" x14ac:dyDescent="0.3">
      <c r="A844" t="s">
        <v>2582</v>
      </c>
      <c r="B844">
        <v>81</v>
      </c>
      <c r="C844" t="s">
        <v>47</v>
      </c>
      <c r="D844" t="s">
        <v>76</v>
      </c>
      <c r="E844" t="s">
        <v>115</v>
      </c>
      <c r="F844" s="1">
        <v>43928</v>
      </c>
      <c r="G844" t="s">
        <v>2583</v>
      </c>
      <c r="H844" t="s">
        <v>2584</v>
      </c>
      <c r="I844" t="s">
        <v>82</v>
      </c>
      <c r="J844">
        <v>3638.25</v>
      </c>
      <c r="K844">
        <v>125</v>
      </c>
      <c r="L844" t="s">
        <v>40</v>
      </c>
      <c r="M844" s="1">
        <v>43951</v>
      </c>
      <c r="N844" t="s">
        <v>52</v>
      </c>
      <c r="O844" t="s">
        <v>61</v>
      </c>
      <c r="P844">
        <v>23</v>
      </c>
      <c r="Q844" t="s">
        <v>53</v>
      </c>
      <c r="R844" t="s">
        <v>100</v>
      </c>
      <c r="S844">
        <v>4</v>
      </c>
      <c r="T844">
        <v>2020</v>
      </c>
      <c r="U844" t="s">
        <v>94</v>
      </c>
    </row>
    <row r="845" spans="1:21" x14ac:dyDescent="0.3">
      <c r="A845" t="s">
        <v>2585</v>
      </c>
      <c r="B845">
        <v>77</v>
      </c>
      <c r="C845" t="s">
        <v>22</v>
      </c>
      <c r="D845" t="s">
        <v>56</v>
      </c>
      <c r="E845" t="s">
        <v>115</v>
      </c>
      <c r="F845" s="1">
        <v>43702</v>
      </c>
      <c r="G845" t="s">
        <v>2586</v>
      </c>
      <c r="H845" t="s">
        <v>2587</v>
      </c>
      <c r="I845" t="s">
        <v>82</v>
      </c>
      <c r="J845">
        <v>46134.93</v>
      </c>
      <c r="K845">
        <v>107</v>
      </c>
      <c r="L845" t="s">
        <v>60</v>
      </c>
      <c r="M845" s="1">
        <v>43712</v>
      </c>
      <c r="N845" t="s">
        <v>52</v>
      </c>
      <c r="O845" t="s">
        <v>42</v>
      </c>
      <c r="P845">
        <v>10</v>
      </c>
      <c r="Q845" t="s">
        <v>53</v>
      </c>
      <c r="R845" t="s">
        <v>44</v>
      </c>
      <c r="S845">
        <v>8</v>
      </c>
      <c r="T845">
        <v>2019</v>
      </c>
      <c r="U845" t="s">
        <v>45</v>
      </c>
    </row>
    <row r="846" spans="1:21" x14ac:dyDescent="0.3">
      <c r="A846" t="s">
        <v>2588</v>
      </c>
      <c r="B846">
        <v>62</v>
      </c>
      <c r="C846" t="s">
        <v>22</v>
      </c>
      <c r="D846" t="s">
        <v>23</v>
      </c>
      <c r="E846" t="s">
        <v>36</v>
      </c>
      <c r="F846" s="1">
        <v>44344</v>
      </c>
      <c r="G846" t="s">
        <v>2589</v>
      </c>
      <c r="H846" t="s">
        <v>2590</v>
      </c>
      <c r="I846" t="s">
        <v>39</v>
      </c>
      <c r="J846">
        <v>14549.49</v>
      </c>
      <c r="K846">
        <v>286</v>
      </c>
      <c r="L846" t="s">
        <v>28</v>
      </c>
      <c r="M846" s="1">
        <v>44356</v>
      </c>
      <c r="N846" t="s">
        <v>67</v>
      </c>
      <c r="O846" t="s">
        <v>61</v>
      </c>
      <c r="P846">
        <v>12</v>
      </c>
      <c r="Q846" t="s">
        <v>43</v>
      </c>
      <c r="R846" t="s">
        <v>32</v>
      </c>
      <c r="S846">
        <v>5</v>
      </c>
      <c r="T846">
        <v>2021</v>
      </c>
      <c r="U846" t="s">
        <v>90</v>
      </c>
    </row>
    <row r="847" spans="1:21" x14ac:dyDescent="0.3">
      <c r="A847" t="s">
        <v>2591</v>
      </c>
      <c r="B847">
        <v>78</v>
      </c>
      <c r="C847" t="s">
        <v>22</v>
      </c>
      <c r="D847" t="s">
        <v>56</v>
      </c>
      <c r="E847" t="s">
        <v>24</v>
      </c>
      <c r="F847" s="1">
        <v>45347</v>
      </c>
      <c r="G847" t="s">
        <v>2592</v>
      </c>
      <c r="H847" t="s">
        <v>2593</v>
      </c>
      <c r="I847" t="s">
        <v>51</v>
      </c>
      <c r="J847">
        <v>30549.65</v>
      </c>
      <c r="K847">
        <v>314</v>
      </c>
      <c r="L847" t="s">
        <v>40</v>
      </c>
      <c r="M847" s="1">
        <v>45359</v>
      </c>
      <c r="N847" t="s">
        <v>29</v>
      </c>
      <c r="O847" t="s">
        <v>42</v>
      </c>
      <c r="P847">
        <v>12</v>
      </c>
      <c r="Q847" t="s">
        <v>53</v>
      </c>
      <c r="R847" t="s">
        <v>44</v>
      </c>
      <c r="S847">
        <v>2</v>
      </c>
      <c r="T847">
        <v>2024</v>
      </c>
      <c r="U847" t="s">
        <v>278</v>
      </c>
    </row>
    <row r="848" spans="1:21" x14ac:dyDescent="0.3">
      <c r="A848" t="s">
        <v>2594</v>
      </c>
      <c r="B848">
        <v>70</v>
      </c>
      <c r="C848" t="s">
        <v>22</v>
      </c>
      <c r="D848" t="s">
        <v>56</v>
      </c>
      <c r="E848" t="s">
        <v>57</v>
      </c>
      <c r="F848" s="1">
        <v>43716</v>
      </c>
      <c r="G848" t="s">
        <v>2595</v>
      </c>
      <c r="H848" t="s">
        <v>2596</v>
      </c>
      <c r="I848" t="s">
        <v>39</v>
      </c>
      <c r="J848">
        <v>13666.18</v>
      </c>
      <c r="K848">
        <v>331</v>
      </c>
      <c r="L848" t="s">
        <v>60</v>
      </c>
      <c r="M848" s="1">
        <v>43717</v>
      </c>
      <c r="N848" t="s">
        <v>99</v>
      </c>
      <c r="O848" t="s">
        <v>30</v>
      </c>
      <c r="P848">
        <v>1</v>
      </c>
      <c r="Q848" t="s">
        <v>43</v>
      </c>
      <c r="R848" t="s">
        <v>32</v>
      </c>
      <c r="S848">
        <v>9</v>
      </c>
      <c r="T848">
        <v>2019</v>
      </c>
      <c r="U848" t="s">
        <v>54</v>
      </c>
    </row>
    <row r="849" spans="1:21" x14ac:dyDescent="0.3">
      <c r="A849" t="s">
        <v>2597</v>
      </c>
      <c r="B849">
        <v>33</v>
      </c>
      <c r="C849" t="s">
        <v>22</v>
      </c>
      <c r="D849" t="s">
        <v>23</v>
      </c>
      <c r="E849" t="s">
        <v>70</v>
      </c>
      <c r="F849" s="1">
        <v>45071</v>
      </c>
      <c r="G849" t="s">
        <v>2598</v>
      </c>
      <c r="H849" t="s">
        <v>2599</v>
      </c>
      <c r="I849" t="s">
        <v>51</v>
      </c>
      <c r="J849">
        <v>45199.27</v>
      </c>
      <c r="K849">
        <v>388</v>
      </c>
      <c r="L849" t="s">
        <v>60</v>
      </c>
      <c r="M849" s="1">
        <v>45075</v>
      </c>
      <c r="N849" t="s">
        <v>99</v>
      </c>
      <c r="O849" t="s">
        <v>61</v>
      </c>
      <c r="P849">
        <v>4</v>
      </c>
      <c r="Q849" t="s">
        <v>31</v>
      </c>
      <c r="R849" t="s">
        <v>44</v>
      </c>
      <c r="S849">
        <v>5</v>
      </c>
      <c r="T849">
        <v>2023</v>
      </c>
      <c r="U849" t="s">
        <v>90</v>
      </c>
    </row>
    <row r="850" spans="1:21" x14ac:dyDescent="0.3">
      <c r="A850" t="s">
        <v>2600</v>
      </c>
      <c r="B850">
        <v>56</v>
      </c>
      <c r="C850" t="s">
        <v>47</v>
      </c>
      <c r="D850" t="s">
        <v>76</v>
      </c>
      <c r="E850" t="s">
        <v>115</v>
      </c>
      <c r="F850" s="1">
        <v>45118</v>
      </c>
      <c r="G850" t="s">
        <v>2601</v>
      </c>
      <c r="H850" t="s">
        <v>2602</v>
      </c>
      <c r="I850" t="s">
        <v>39</v>
      </c>
      <c r="J850">
        <v>20514.400000000001</v>
      </c>
      <c r="K850">
        <v>214</v>
      </c>
      <c r="L850" t="s">
        <v>60</v>
      </c>
      <c r="M850" s="1">
        <v>45139</v>
      </c>
      <c r="N850" t="s">
        <v>41</v>
      </c>
      <c r="O850" t="s">
        <v>61</v>
      </c>
      <c r="P850">
        <v>21</v>
      </c>
      <c r="Q850" t="s">
        <v>43</v>
      </c>
      <c r="R850" t="s">
        <v>32</v>
      </c>
      <c r="S850">
        <v>7</v>
      </c>
      <c r="T850">
        <v>2023</v>
      </c>
      <c r="U850" t="s">
        <v>86</v>
      </c>
    </row>
    <row r="851" spans="1:21" x14ac:dyDescent="0.3">
      <c r="A851" t="s">
        <v>2603</v>
      </c>
      <c r="B851">
        <v>38</v>
      </c>
      <c r="C851" t="s">
        <v>22</v>
      </c>
      <c r="D851" t="s">
        <v>35</v>
      </c>
      <c r="E851" t="s">
        <v>24</v>
      </c>
      <c r="F851" s="1">
        <v>45371</v>
      </c>
      <c r="G851" t="s">
        <v>2604</v>
      </c>
      <c r="H851" t="s">
        <v>2605</v>
      </c>
      <c r="I851" t="s">
        <v>27</v>
      </c>
      <c r="J851">
        <v>47700.54</v>
      </c>
      <c r="K851">
        <v>303</v>
      </c>
      <c r="L851" t="s">
        <v>40</v>
      </c>
      <c r="M851" s="1">
        <v>45387</v>
      </c>
      <c r="N851" t="s">
        <v>67</v>
      </c>
      <c r="O851" t="s">
        <v>30</v>
      </c>
      <c r="P851">
        <v>16</v>
      </c>
      <c r="Q851" t="s">
        <v>68</v>
      </c>
      <c r="R851" t="s">
        <v>44</v>
      </c>
      <c r="S851">
        <v>3</v>
      </c>
      <c r="T851">
        <v>2024</v>
      </c>
      <c r="U851" t="s">
        <v>122</v>
      </c>
    </row>
    <row r="852" spans="1:21" x14ac:dyDescent="0.3">
      <c r="A852" t="s">
        <v>2606</v>
      </c>
      <c r="B852">
        <v>33</v>
      </c>
      <c r="C852" t="s">
        <v>22</v>
      </c>
      <c r="D852" t="s">
        <v>64</v>
      </c>
      <c r="E852" t="s">
        <v>96</v>
      </c>
      <c r="F852" s="1">
        <v>44505</v>
      </c>
      <c r="G852" t="s">
        <v>2607</v>
      </c>
      <c r="H852" t="s">
        <v>2608</v>
      </c>
      <c r="I852" t="s">
        <v>39</v>
      </c>
      <c r="J852">
        <v>2462.21</v>
      </c>
      <c r="K852">
        <v>329</v>
      </c>
      <c r="L852" t="s">
        <v>28</v>
      </c>
      <c r="M852" s="1">
        <v>44506</v>
      </c>
      <c r="N852" t="s">
        <v>29</v>
      </c>
      <c r="O852" t="s">
        <v>42</v>
      </c>
      <c r="P852">
        <v>1</v>
      </c>
      <c r="Q852" t="s">
        <v>31</v>
      </c>
      <c r="R852" t="s">
        <v>100</v>
      </c>
      <c r="S852">
        <v>11</v>
      </c>
      <c r="T852">
        <v>2021</v>
      </c>
      <c r="U852" t="s">
        <v>62</v>
      </c>
    </row>
    <row r="853" spans="1:21" x14ac:dyDescent="0.3">
      <c r="A853" t="s">
        <v>2609</v>
      </c>
      <c r="B853">
        <v>25</v>
      </c>
      <c r="C853" t="s">
        <v>22</v>
      </c>
      <c r="D853" t="s">
        <v>149</v>
      </c>
      <c r="E853" t="s">
        <v>96</v>
      </c>
      <c r="F853" s="1">
        <v>45165</v>
      </c>
      <c r="G853" t="s">
        <v>2610</v>
      </c>
      <c r="H853" t="s">
        <v>2611</v>
      </c>
      <c r="I853" t="s">
        <v>51</v>
      </c>
      <c r="J853">
        <v>31401.5</v>
      </c>
      <c r="K853">
        <v>265</v>
      </c>
      <c r="L853" t="s">
        <v>28</v>
      </c>
      <c r="M853" s="1">
        <v>45166</v>
      </c>
      <c r="N853" t="s">
        <v>99</v>
      </c>
      <c r="O853" t="s">
        <v>42</v>
      </c>
      <c r="P853">
        <v>1</v>
      </c>
      <c r="Q853" t="s">
        <v>31</v>
      </c>
      <c r="R853" t="s">
        <v>44</v>
      </c>
      <c r="S853">
        <v>8</v>
      </c>
      <c r="T853">
        <v>2023</v>
      </c>
      <c r="U853" t="s">
        <v>45</v>
      </c>
    </row>
    <row r="854" spans="1:21" x14ac:dyDescent="0.3">
      <c r="A854" t="s">
        <v>2612</v>
      </c>
      <c r="B854">
        <v>66</v>
      </c>
      <c r="C854" t="s">
        <v>47</v>
      </c>
      <c r="D854" t="s">
        <v>23</v>
      </c>
      <c r="E854" t="s">
        <v>36</v>
      </c>
      <c r="F854" s="1">
        <v>44707</v>
      </c>
      <c r="G854" t="s">
        <v>2613</v>
      </c>
      <c r="H854" t="s">
        <v>2614</v>
      </c>
      <c r="I854" t="s">
        <v>73</v>
      </c>
      <c r="J854">
        <v>20749.86</v>
      </c>
      <c r="K854">
        <v>179</v>
      </c>
      <c r="L854" t="s">
        <v>60</v>
      </c>
      <c r="M854" s="1">
        <v>44711</v>
      </c>
      <c r="N854" t="s">
        <v>29</v>
      </c>
      <c r="O854" t="s">
        <v>42</v>
      </c>
      <c r="P854">
        <v>4</v>
      </c>
      <c r="Q854" t="s">
        <v>43</v>
      </c>
      <c r="R854" t="s">
        <v>32</v>
      </c>
      <c r="S854">
        <v>5</v>
      </c>
      <c r="T854">
        <v>2022</v>
      </c>
      <c r="U854" t="s">
        <v>90</v>
      </c>
    </row>
    <row r="855" spans="1:21" x14ac:dyDescent="0.3">
      <c r="A855" t="s">
        <v>2615</v>
      </c>
      <c r="B855">
        <v>47</v>
      </c>
      <c r="C855" t="s">
        <v>22</v>
      </c>
      <c r="D855" t="s">
        <v>127</v>
      </c>
      <c r="E855" t="s">
        <v>96</v>
      </c>
      <c r="F855" s="1">
        <v>44452</v>
      </c>
      <c r="G855" t="s">
        <v>2616</v>
      </c>
      <c r="H855" t="s">
        <v>2617</v>
      </c>
      <c r="I855" t="s">
        <v>27</v>
      </c>
      <c r="J855">
        <v>47297.42</v>
      </c>
      <c r="K855">
        <v>389</v>
      </c>
      <c r="L855" t="s">
        <v>40</v>
      </c>
      <c r="M855" s="1">
        <v>44455</v>
      </c>
      <c r="N855" t="s">
        <v>99</v>
      </c>
      <c r="O855" t="s">
        <v>30</v>
      </c>
      <c r="P855">
        <v>3</v>
      </c>
      <c r="Q855" t="s">
        <v>68</v>
      </c>
      <c r="R855" t="s">
        <v>44</v>
      </c>
      <c r="S855">
        <v>9</v>
      </c>
      <c r="T855">
        <v>2021</v>
      </c>
      <c r="U855" t="s">
        <v>54</v>
      </c>
    </row>
    <row r="856" spans="1:21" x14ac:dyDescent="0.3">
      <c r="A856" t="s">
        <v>2618</v>
      </c>
      <c r="B856">
        <v>53</v>
      </c>
      <c r="C856" t="s">
        <v>47</v>
      </c>
      <c r="D856" t="s">
        <v>149</v>
      </c>
      <c r="E856" t="s">
        <v>36</v>
      </c>
      <c r="F856" s="1">
        <v>45361</v>
      </c>
      <c r="G856" t="s">
        <v>2619</v>
      </c>
      <c r="H856" t="s">
        <v>2620</v>
      </c>
      <c r="I856" t="s">
        <v>51</v>
      </c>
      <c r="J856">
        <v>26223.17</v>
      </c>
      <c r="K856">
        <v>122</v>
      </c>
      <c r="L856" t="s">
        <v>28</v>
      </c>
      <c r="M856" s="1">
        <v>45366</v>
      </c>
      <c r="N856" t="s">
        <v>67</v>
      </c>
      <c r="O856" t="s">
        <v>30</v>
      </c>
      <c r="P856">
        <v>5</v>
      </c>
      <c r="Q856" t="s">
        <v>68</v>
      </c>
      <c r="R856" t="s">
        <v>32</v>
      </c>
      <c r="S856">
        <v>3</v>
      </c>
      <c r="T856">
        <v>2024</v>
      </c>
      <c r="U856" t="s">
        <v>122</v>
      </c>
    </row>
    <row r="857" spans="1:21" x14ac:dyDescent="0.3">
      <c r="A857" t="s">
        <v>2621</v>
      </c>
      <c r="B857">
        <v>37</v>
      </c>
      <c r="C857" t="s">
        <v>22</v>
      </c>
      <c r="D857" t="s">
        <v>64</v>
      </c>
      <c r="E857" t="s">
        <v>70</v>
      </c>
      <c r="F857" s="1">
        <v>44830</v>
      </c>
      <c r="G857" t="s">
        <v>2622</v>
      </c>
      <c r="H857" t="s">
        <v>2623</v>
      </c>
      <c r="I857" t="s">
        <v>82</v>
      </c>
      <c r="J857">
        <v>35821.65</v>
      </c>
      <c r="K857">
        <v>230</v>
      </c>
      <c r="L857" t="s">
        <v>28</v>
      </c>
      <c r="M857" s="1">
        <v>44858</v>
      </c>
      <c r="N857" t="s">
        <v>29</v>
      </c>
      <c r="O857" t="s">
        <v>30</v>
      </c>
      <c r="P857">
        <v>28</v>
      </c>
      <c r="Q857" t="s">
        <v>68</v>
      </c>
      <c r="R857" t="s">
        <v>44</v>
      </c>
      <c r="S857">
        <v>9</v>
      </c>
      <c r="T857">
        <v>2022</v>
      </c>
      <c r="U857" t="s">
        <v>54</v>
      </c>
    </row>
    <row r="858" spans="1:21" x14ac:dyDescent="0.3">
      <c r="A858" t="s">
        <v>2624</v>
      </c>
      <c r="B858">
        <v>56</v>
      </c>
      <c r="C858" t="s">
        <v>22</v>
      </c>
      <c r="D858" t="s">
        <v>48</v>
      </c>
      <c r="E858" t="s">
        <v>115</v>
      </c>
      <c r="F858" s="1">
        <v>43825</v>
      </c>
      <c r="G858" t="s">
        <v>2625</v>
      </c>
      <c r="H858" t="s">
        <v>2626</v>
      </c>
      <c r="I858" t="s">
        <v>39</v>
      </c>
      <c r="J858">
        <v>21633.33</v>
      </c>
      <c r="K858">
        <v>111</v>
      </c>
      <c r="L858" t="s">
        <v>60</v>
      </c>
      <c r="M858" s="1">
        <v>43826</v>
      </c>
      <c r="N858" t="s">
        <v>29</v>
      </c>
      <c r="O858" t="s">
        <v>42</v>
      </c>
      <c r="P858">
        <v>1</v>
      </c>
      <c r="Q858" t="s">
        <v>43</v>
      </c>
      <c r="R858" t="s">
        <v>32</v>
      </c>
      <c r="S858">
        <v>12</v>
      </c>
      <c r="T858">
        <v>2019</v>
      </c>
      <c r="U858" t="s">
        <v>74</v>
      </c>
    </row>
    <row r="859" spans="1:21" x14ac:dyDescent="0.3">
      <c r="A859" t="s">
        <v>2627</v>
      </c>
      <c r="B859">
        <v>51</v>
      </c>
      <c r="C859" t="s">
        <v>22</v>
      </c>
      <c r="D859" t="s">
        <v>48</v>
      </c>
      <c r="E859" t="s">
        <v>115</v>
      </c>
      <c r="F859" s="1">
        <v>44214</v>
      </c>
      <c r="G859" t="s">
        <v>2628</v>
      </c>
      <c r="H859" t="s">
        <v>2629</v>
      </c>
      <c r="I859" t="s">
        <v>27</v>
      </c>
      <c r="J859">
        <v>39448.89</v>
      </c>
      <c r="K859">
        <v>124</v>
      </c>
      <c r="L859" t="s">
        <v>60</v>
      </c>
      <c r="M859" s="1">
        <v>44238</v>
      </c>
      <c r="N859" t="s">
        <v>52</v>
      </c>
      <c r="O859" t="s">
        <v>42</v>
      </c>
      <c r="P859">
        <v>24</v>
      </c>
      <c r="Q859" t="s">
        <v>68</v>
      </c>
      <c r="R859" t="s">
        <v>44</v>
      </c>
      <c r="S859">
        <v>1</v>
      </c>
      <c r="T859">
        <v>2021</v>
      </c>
      <c r="U859" t="s">
        <v>33</v>
      </c>
    </row>
    <row r="860" spans="1:21" x14ac:dyDescent="0.3">
      <c r="A860" t="s">
        <v>2630</v>
      </c>
      <c r="B860">
        <v>40</v>
      </c>
      <c r="C860" t="s">
        <v>47</v>
      </c>
      <c r="D860" t="s">
        <v>149</v>
      </c>
      <c r="E860" t="s">
        <v>24</v>
      </c>
      <c r="F860" s="1">
        <v>44250</v>
      </c>
      <c r="G860" t="s">
        <v>2631</v>
      </c>
      <c r="H860" t="s">
        <v>2632</v>
      </c>
      <c r="I860" t="s">
        <v>39</v>
      </c>
      <c r="J860">
        <v>8867.75</v>
      </c>
      <c r="K860">
        <v>302</v>
      </c>
      <c r="L860" t="s">
        <v>40</v>
      </c>
      <c r="M860" s="1">
        <v>44275</v>
      </c>
      <c r="N860" t="s">
        <v>99</v>
      </c>
      <c r="O860" t="s">
        <v>42</v>
      </c>
      <c r="P860">
        <v>25</v>
      </c>
      <c r="Q860" t="s">
        <v>68</v>
      </c>
      <c r="R860" t="s">
        <v>100</v>
      </c>
      <c r="S860">
        <v>2</v>
      </c>
      <c r="T860">
        <v>2021</v>
      </c>
      <c r="U860" t="s">
        <v>278</v>
      </c>
    </row>
    <row r="861" spans="1:21" x14ac:dyDescent="0.3">
      <c r="A861" t="s">
        <v>2633</v>
      </c>
      <c r="B861">
        <v>56</v>
      </c>
      <c r="C861" t="s">
        <v>47</v>
      </c>
      <c r="D861" t="s">
        <v>64</v>
      </c>
      <c r="E861" t="s">
        <v>115</v>
      </c>
      <c r="F861" s="1">
        <v>43905</v>
      </c>
      <c r="G861" t="s">
        <v>2634</v>
      </c>
      <c r="H861" t="s">
        <v>2635</v>
      </c>
      <c r="I861" t="s">
        <v>82</v>
      </c>
      <c r="J861">
        <v>5571.24</v>
      </c>
      <c r="K861">
        <v>192</v>
      </c>
      <c r="L861" t="s">
        <v>60</v>
      </c>
      <c r="M861" s="1">
        <v>43912</v>
      </c>
      <c r="N861" t="s">
        <v>29</v>
      </c>
      <c r="O861" t="s">
        <v>30</v>
      </c>
      <c r="P861">
        <v>7</v>
      </c>
      <c r="Q861" t="s">
        <v>43</v>
      </c>
      <c r="R861" t="s">
        <v>100</v>
      </c>
      <c r="S861">
        <v>3</v>
      </c>
      <c r="T861">
        <v>2020</v>
      </c>
      <c r="U861" t="s">
        <v>122</v>
      </c>
    </row>
    <row r="862" spans="1:21" x14ac:dyDescent="0.3">
      <c r="A862" t="s">
        <v>2636</v>
      </c>
      <c r="B862">
        <v>76</v>
      </c>
      <c r="C862" t="s">
        <v>22</v>
      </c>
      <c r="D862" t="s">
        <v>35</v>
      </c>
      <c r="E862" t="s">
        <v>70</v>
      </c>
      <c r="F862" s="1">
        <v>43730</v>
      </c>
      <c r="G862" t="s">
        <v>2637</v>
      </c>
      <c r="H862" t="s">
        <v>2638</v>
      </c>
      <c r="I862" t="s">
        <v>51</v>
      </c>
      <c r="J862">
        <v>13014.33</v>
      </c>
      <c r="K862">
        <v>108</v>
      </c>
      <c r="L862" t="s">
        <v>40</v>
      </c>
      <c r="M862" s="1">
        <v>43736</v>
      </c>
      <c r="N862" t="s">
        <v>52</v>
      </c>
      <c r="O862" t="s">
        <v>61</v>
      </c>
      <c r="P862">
        <v>6</v>
      </c>
      <c r="Q862" t="s">
        <v>53</v>
      </c>
      <c r="R862" t="s">
        <v>32</v>
      </c>
      <c r="S862">
        <v>9</v>
      </c>
      <c r="T862">
        <v>2019</v>
      </c>
      <c r="U862" t="s">
        <v>54</v>
      </c>
    </row>
    <row r="863" spans="1:21" x14ac:dyDescent="0.3">
      <c r="A863" t="s">
        <v>2639</v>
      </c>
      <c r="B863">
        <v>81</v>
      </c>
      <c r="C863" t="s">
        <v>22</v>
      </c>
      <c r="D863" t="s">
        <v>64</v>
      </c>
      <c r="E863" t="s">
        <v>36</v>
      </c>
      <c r="F863" s="1">
        <v>45267</v>
      </c>
      <c r="G863" t="s">
        <v>2640</v>
      </c>
      <c r="H863" t="s">
        <v>2641</v>
      </c>
      <c r="I863" t="s">
        <v>51</v>
      </c>
      <c r="J863">
        <v>27828.94</v>
      </c>
      <c r="K863">
        <v>226</v>
      </c>
      <c r="L863" t="s">
        <v>40</v>
      </c>
      <c r="M863" s="1">
        <v>45273</v>
      </c>
      <c r="N863" t="s">
        <v>41</v>
      </c>
      <c r="O863" t="s">
        <v>61</v>
      </c>
      <c r="P863">
        <v>6</v>
      </c>
      <c r="Q863" t="s">
        <v>53</v>
      </c>
      <c r="R863" t="s">
        <v>32</v>
      </c>
      <c r="S863">
        <v>12</v>
      </c>
      <c r="T863">
        <v>2023</v>
      </c>
      <c r="U863" t="s">
        <v>74</v>
      </c>
    </row>
    <row r="864" spans="1:21" x14ac:dyDescent="0.3">
      <c r="A864" t="s">
        <v>2642</v>
      </c>
      <c r="B864">
        <v>84</v>
      </c>
      <c r="C864" t="s">
        <v>47</v>
      </c>
      <c r="D864" t="s">
        <v>149</v>
      </c>
      <c r="E864" t="s">
        <v>115</v>
      </c>
      <c r="F864" s="1">
        <v>44013</v>
      </c>
      <c r="G864" t="s">
        <v>2643</v>
      </c>
      <c r="H864" t="s">
        <v>2644</v>
      </c>
      <c r="I864" t="s">
        <v>51</v>
      </c>
      <c r="J864">
        <v>36931.480000000003</v>
      </c>
      <c r="K864">
        <v>337</v>
      </c>
      <c r="L864" t="s">
        <v>60</v>
      </c>
      <c r="M864" s="1">
        <v>44021</v>
      </c>
      <c r="N864" t="s">
        <v>29</v>
      </c>
      <c r="O864" t="s">
        <v>30</v>
      </c>
      <c r="P864">
        <v>8</v>
      </c>
      <c r="Q864" t="s">
        <v>53</v>
      </c>
      <c r="R864" t="s">
        <v>44</v>
      </c>
      <c r="S864">
        <v>7</v>
      </c>
      <c r="T864">
        <v>2020</v>
      </c>
      <c r="U864" t="s">
        <v>86</v>
      </c>
    </row>
    <row r="865" spans="1:21" x14ac:dyDescent="0.3">
      <c r="A865" t="s">
        <v>2645</v>
      </c>
      <c r="B865">
        <v>54</v>
      </c>
      <c r="C865" t="s">
        <v>22</v>
      </c>
      <c r="D865" t="s">
        <v>56</v>
      </c>
      <c r="E865" t="s">
        <v>36</v>
      </c>
      <c r="F865" s="1">
        <v>43963</v>
      </c>
      <c r="G865" t="s">
        <v>2646</v>
      </c>
      <c r="H865" t="s">
        <v>2647</v>
      </c>
      <c r="I865" t="s">
        <v>39</v>
      </c>
      <c r="J865">
        <v>41307.9</v>
      </c>
      <c r="K865">
        <v>141</v>
      </c>
      <c r="L865" t="s">
        <v>60</v>
      </c>
      <c r="M865" s="1">
        <v>43968</v>
      </c>
      <c r="N865" t="s">
        <v>67</v>
      </c>
      <c r="O865" t="s">
        <v>30</v>
      </c>
      <c r="P865">
        <v>5</v>
      </c>
      <c r="Q865" t="s">
        <v>68</v>
      </c>
      <c r="R865" t="s">
        <v>44</v>
      </c>
      <c r="S865">
        <v>5</v>
      </c>
      <c r="T865">
        <v>2020</v>
      </c>
      <c r="U865" t="s">
        <v>90</v>
      </c>
    </row>
    <row r="866" spans="1:21" x14ac:dyDescent="0.3">
      <c r="A866" t="s">
        <v>2648</v>
      </c>
      <c r="B866">
        <v>40</v>
      </c>
      <c r="C866" t="s">
        <v>22</v>
      </c>
      <c r="D866" t="s">
        <v>127</v>
      </c>
      <c r="E866" t="s">
        <v>70</v>
      </c>
      <c r="F866" s="1">
        <v>44802</v>
      </c>
      <c r="G866" t="s">
        <v>2649</v>
      </c>
      <c r="H866" t="s">
        <v>2650</v>
      </c>
      <c r="I866" t="s">
        <v>39</v>
      </c>
      <c r="J866">
        <v>36632.32</v>
      </c>
      <c r="K866">
        <v>476</v>
      </c>
      <c r="L866" t="s">
        <v>28</v>
      </c>
      <c r="M866" s="1">
        <v>44814</v>
      </c>
      <c r="N866" t="s">
        <v>67</v>
      </c>
      <c r="O866" t="s">
        <v>42</v>
      </c>
      <c r="P866">
        <v>12</v>
      </c>
      <c r="Q866" t="s">
        <v>68</v>
      </c>
      <c r="R866" t="s">
        <v>44</v>
      </c>
      <c r="S866">
        <v>8</v>
      </c>
      <c r="T866">
        <v>2022</v>
      </c>
      <c r="U866" t="s">
        <v>45</v>
      </c>
    </row>
    <row r="867" spans="1:21" x14ac:dyDescent="0.3">
      <c r="A867" t="s">
        <v>2651</v>
      </c>
      <c r="B867">
        <v>79</v>
      </c>
      <c r="C867" t="s">
        <v>22</v>
      </c>
      <c r="D867" t="s">
        <v>149</v>
      </c>
      <c r="E867" t="s">
        <v>24</v>
      </c>
      <c r="F867" s="1">
        <v>43770</v>
      </c>
      <c r="G867" t="s">
        <v>2652</v>
      </c>
      <c r="H867" t="s">
        <v>2653</v>
      </c>
      <c r="I867" t="s">
        <v>27</v>
      </c>
      <c r="J867">
        <v>17658.47</v>
      </c>
      <c r="K867">
        <v>461</v>
      </c>
      <c r="L867" t="s">
        <v>40</v>
      </c>
      <c r="M867" s="1">
        <v>43788</v>
      </c>
      <c r="N867" t="s">
        <v>67</v>
      </c>
      <c r="O867" t="s">
        <v>42</v>
      </c>
      <c r="P867">
        <v>18</v>
      </c>
      <c r="Q867" t="s">
        <v>53</v>
      </c>
      <c r="R867" t="s">
        <v>32</v>
      </c>
      <c r="S867">
        <v>11</v>
      </c>
      <c r="T867">
        <v>2019</v>
      </c>
      <c r="U867" t="s">
        <v>62</v>
      </c>
    </row>
    <row r="868" spans="1:21" x14ac:dyDescent="0.3">
      <c r="A868" t="s">
        <v>2654</v>
      </c>
      <c r="B868">
        <v>52</v>
      </c>
      <c r="C868" t="s">
        <v>22</v>
      </c>
      <c r="D868" t="s">
        <v>76</v>
      </c>
      <c r="E868" t="s">
        <v>24</v>
      </c>
      <c r="F868" s="1">
        <v>43693</v>
      </c>
      <c r="G868" t="s">
        <v>2655</v>
      </c>
      <c r="H868" t="s">
        <v>2656</v>
      </c>
      <c r="I868" t="s">
        <v>27</v>
      </c>
      <c r="J868">
        <v>10034.719999999999</v>
      </c>
      <c r="K868">
        <v>362</v>
      </c>
      <c r="L868" t="s">
        <v>40</v>
      </c>
      <c r="M868" s="1">
        <v>43723</v>
      </c>
      <c r="N868" t="s">
        <v>29</v>
      </c>
      <c r="O868" t="s">
        <v>61</v>
      </c>
      <c r="P868">
        <v>30</v>
      </c>
      <c r="Q868" t="s">
        <v>68</v>
      </c>
      <c r="R868" t="s">
        <v>32</v>
      </c>
      <c r="S868">
        <v>8</v>
      </c>
      <c r="T868">
        <v>2019</v>
      </c>
      <c r="U868" t="s">
        <v>45</v>
      </c>
    </row>
    <row r="869" spans="1:21" x14ac:dyDescent="0.3">
      <c r="A869" t="s">
        <v>2657</v>
      </c>
      <c r="B869">
        <v>42</v>
      </c>
      <c r="C869" t="s">
        <v>22</v>
      </c>
      <c r="D869" t="s">
        <v>127</v>
      </c>
      <c r="E869" t="s">
        <v>57</v>
      </c>
      <c r="F869" s="1">
        <v>44255</v>
      </c>
      <c r="G869" t="s">
        <v>2658</v>
      </c>
      <c r="H869" t="s">
        <v>2659</v>
      </c>
      <c r="I869" t="s">
        <v>82</v>
      </c>
      <c r="J869">
        <v>7383.38</v>
      </c>
      <c r="K869">
        <v>395</v>
      </c>
      <c r="L869" t="s">
        <v>40</v>
      </c>
      <c r="M869" s="1">
        <v>44269</v>
      </c>
      <c r="N869" t="s">
        <v>29</v>
      </c>
      <c r="O869" t="s">
        <v>30</v>
      </c>
      <c r="P869">
        <v>14</v>
      </c>
      <c r="Q869" t="s">
        <v>68</v>
      </c>
      <c r="R869" t="s">
        <v>100</v>
      </c>
      <c r="S869">
        <v>2</v>
      </c>
      <c r="T869">
        <v>2021</v>
      </c>
      <c r="U869" t="s">
        <v>278</v>
      </c>
    </row>
    <row r="870" spans="1:21" x14ac:dyDescent="0.3">
      <c r="A870" t="s">
        <v>2660</v>
      </c>
      <c r="B870">
        <v>41</v>
      </c>
      <c r="C870" t="s">
        <v>22</v>
      </c>
      <c r="D870" t="s">
        <v>35</v>
      </c>
      <c r="E870" t="s">
        <v>70</v>
      </c>
      <c r="F870" s="1">
        <v>44081</v>
      </c>
      <c r="G870" t="s">
        <v>2661</v>
      </c>
      <c r="H870" t="s">
        <v>2662</v>
      </c>
      <c r="I870" t="s">
        <v>27</v>
      </c>
      <c r="J870">
        <v>28974.46</v>
      </c>
      <c r="K870">
        <v>377</v>
      </c>
      <c r="L870" t="s">
        <v>60</v>
      </c>
      <c r="M870" s="1">
        <v>44104</v>
      </c>
      <c r="N870" t="s">
        <v>29</v>
      </c>
      <c r="O870" t="s">
        <v>30</v>
      </c>
      <c r="P870">
        <v>23</v>
      </c>
      <c r="Q870" t="s">
        <v>68</v>
      </c>
      <c r="R870" t="s">
        <v>32</v>
      </c>
      <c r="S870">
        <v>9</v>
      </c>
      <c r="T870">
        <v>2020</v>
      </c>
      <c r="U870" t="s">
        <v>54</v>
      </c>
    </row>
    <row r="871" spans="1:21" x14ac:dyDescent="0.3">
      <c r="A871" t="s">
        <v>2663</v>
      </c>
      <c r="B871">
        <v>26</v>
      </c>
      <c r="C871" t="s">
        <v>22</v>
      </c>
      <c r="D871" t="s">
        <v>35</v>
      </c>
      <c r="E871" t="s">
        <v>115</v>
      </c>
      <c r="F871" s="1">
        <v>45338</v>
      </c>
      <c r="G871" t="s">
        <v>2664</v>
      </c>
      <c r="H871" t="s">
        <v>2665</v>
      </c>
      <c r="I871" t="s">
        <v>27</v>
      </c>
      <c r="J871">
        <v>4697.2299999999996</v>
      </c>
      <c r="K871">
        <v>143</v>
      </c>
      <c r="L871" t="s">
        <v>60</v>
      </c>
      <c r="M871" s="1">
        <v>45350</v>
      </c>
      <c r="N871" t="s">
        <v>52</v>
      </c>
      <c r="O871" t="s">
        <v>61</v>
      </c>
      <c r="P871">
        <v>12</v>
      </c>
      <c r="Q871" t="s">
        <v>31</v>
      </c>
      <c r="R871" t="s">
        <v>100</v>
      </c>
      <c r="S871">
        <v>2</v>
      </c>
      <c r="T871">
        <v>2024</v>
      </c>
      <c r="U871" t="s">
        <v>278</v>
      </c>
    </row>
    <row r="872" spans="1:21" x14ac:dyDescent="0.3">
      <c r="A872" t="s">
        <v>2666</v>
      </c>
      <c r="B872">
        <v>76</v>
      </c>
      <c r="C872" t="s">
        <v>47</v>
      </c>
      <c r="D872" t="s">
        <v>127</v>
      </c>
      <c r="E872" t="s">
        <v>24</v>
      </c>
      <c r="F872" s="1">
        <v>44212</v>
      </c>
      <c r="G872" t="s">
        <v>2667</v>
      </c>
      <c r="H872" t="s">
        <v>2668</v>
      </c>
      <c r="I872" t="s">
        <v>82</v>
      </c>
      <c r="J872">
        <v>41150.19</v>
      </c>
      <c r="K872">
        <v>244</v>
      </c>
      <c r="L872" t="s">
        <v>60</v>
      </c>
      <c r="M872" s="1">
        <v>44223</v>
      </c>
      <c r="N872" t="s">
        <v>99</v>
      </c>
      <c r="O872" t="s">
        <v>61</v>
      </c>
      <c r="P872">
        <v>11</v>
      </c>
      <c r="Q872" t="s">
        <v>53</v>
      </c>
      <c r="R872" t="s">
        <v>44</v>
      </c>
      <c r="S872">
        <v>1</v>
      </c>
      <c r="T872">
        <v>2021</v>
      </c>
      <c r="U872" t="s">
        <v>33</v>
      </c>
    </row>
    <row r="873" spans="1:21" x14ac:dyDescent="0.3">
      <c r="A873" t="s">
        <v>2669</v>
      </c>
      <c r="B873">
        <v>29</v>
      </c>
      <c r="C873" t="s">
        <v>47</v>
      </c>
      <c r="D873" t="s">
        <v>35</v>
      </c>
      <c r="E873" t="s">
        <v>115</v>
      </c>
      <c r="F873" s="1">
        <v>44957</v>
      </c>
      <c r="G873" t="s">
        <v>2670</v>
      </c>
      <c r="H873" t="s">
        <v>2671</v>
      </c>
      <c r="I873" t="s">
        <v>82</v>
      </c>
      <c r="J873">
        <v>30324.45</v>
      </c>
      <c r="K873">
        <v>156</v>
      </c>
      <c r="L873" t="s">
        <v>40</v>
      </c>
      <c r="M873" s="1">
        <v>44971</v>
      </c>
      <c r="N873" t="s">
        <v>67</v>
      </c>
      <c r="O873" t="s">
        <v>30</v>
      </c>
      <c r="P873">
        <v>14</v>
      </c>
      <c r="Q873" t="s">
        <v>31</v>
      </c>
      <c r="R873" t="s">
        <v>44</v>
      </c>
      <c r="S873">
        <v>1</v>
      </c>
      <c r="T873">
        <v>2023</v>
      </c>
      <c r="U873" t="s">
        <v>33</v>
      </c>
    </row>
    <row r="874" spans="1:21" x14ac:dyDescent="0.3">
      <c r="A874" t="s">
        <v>2672</v>
      </c>
      <c r="B874">
        <v>19</v>
      </c>
      <c r="C874" t="s">
        <v>22</v>
      </c>
      <c r="D874" t="s">
        <v>23</v>
      </c>
      <c r="E874" t="s">
        <v>96</v>
      </c>
      <c r="F874" s="1">
        <v>44771</v>
      </c>
      <c r="G874" t="s">
        <v>2673</v>
      </c>
      <c r="H874" t="s">
        <v>2674</v>
      </c>
      <c r="I874" t="s">
        <v>39</v>
      </c>
      <c r="J874">
        <v>33646.11</v>
      </c>
      <c r="K874">
        <v>457</v>
      </c>
      <c r="L874" t="s">
        <v>40</v>
      </c>
      <c r="M874" s="1">
        <v>44794</v>
      </c>
      <c r="N874" t="s">
        <v>67</v>
      </c>
      <c r="O874" t="s">
        <v>30</v>
      </c>
      <c r="P874">
        <v>23</v>
      </c>
      <c r="Q874" t="s">
        <v>31</v>
      </c>
      <c r="R874" t="s">
        <v>44</v>
      </c>
      <c r="S874">
        <v>7</v>
      </c>
      <c r="T874">
        <v>2022</v>
      </c>
      <c r="U874" t="s">
        <v>86</v>
      </c>
    </row>
    <row r="875" spans="1:21" x14ac:dyDescent="0.3">
      <c r="A875" t="s">
        <v>2675</v>
      </c>
      <c r="B875">
        <v>30</v>
      </c>
      <c r="C875" t="s">
        <v>47</v>
      </c>
      <c r="D875" t="s">
        <v>149</v>
      </c>
      <c r="E875" t="s">
        <v>57</v>
      </c>
      <c r="F875" s="1">
        <v>44678</v>
      </c>
      <c r="G875" t="s">
        <v>2676</v>
      </c>
      <c r="H875" t="s">
        <v>2677</v>
      </c>
      <c r="I875" t="s">
        <v>82</v>
      </c>
      <c r="J875">
        <v>46717.95</v>
      </c>
      <c r="K875">
        <v>147</v>
      </c>
      <c r="L875" t="s">
        <v>28</v>
      </c>
      <c r="M875" s="1">
        <v>44682</v>
      </c>
      <c r="N875" t="s">
        <v>67</v>
      </c>
      <c r="O875" t="s">
        <v>42</v>
      </c>
      <c r="P875">
        <v>4</v>
      </c>
      <c r="Q875" t="s">
        <v>31</v>
      </c>
      <c r="R875" t="s">
        <v>44</v>
      </c>
      <c r="S875">
        <v>4</v>
      </c>
      <c r="T875">
        <v>2022</v>
      </c>
      <c r="U875" t="s">
        <v>94</v>
      </c>
    </row>
    <row r="876" spans="1:21" x14ac:dyDescent="0.3">
      <c r="A876" t="s">
        <v>2678</v>
      </c>
      <c r="B876">
        <v>37</v>
      </c>
      <c r="C876" t="s">
        <v>47</v>
      </c>
      <c r="D876" t="s">
        <v>149</v>
      </c>
      <c r="E876" t="s">
        <v>70</v>
      </c>
      <c r="F876" s="1">
        <v>43988</v>
      </c>
      <c r="G876" t="s">
        <v>2679</v>
      </c>
      <c r="H876" t="s">
        <v>2680</v>
      </c>
      <c r="I876" t="s">
        <v>51</v>
      </c>
      <c r="J876">
        <v>49997.33</v>
      </c>
      <c r="K876">
        <v>427</v>
      </c>
      <c r="L876" t="s">
        <v>60</v>
      </c>
      <c r="M876" s="1">
        <v>44004</v>
      </c>
      <c r="N876" t="s">
        <v>52</v>
      </c>
      <c r="O876" t="s">
        <v>30</v>
      </c>
      <c r="P876">
        <v>16</v>
      </c>
      <c r="Q876" t="s">
        <v>68</v>
      </c>
      <c r="R876" t="s">
        <v>44</v>
      </c>
      <c r="S876">
        <v>6</v>
      </c>
      <c r="T876">
        <v>2020</v>
      </c>
      <c r="U876" t="s">
        <v>118</v>
      </c>
    </row>
    <row r="877" spans="1:21" x14ac:dyDescent="0.3">
      <c r="A877" t="s">
        <v>2681</v>
      </c>
      <c r="B877">
        <v>82</v>
      </c>
      <c r="C877" t="s">
        <v>47</v>
      </c>
      <c r="D877" t="s">
        <v>76</v>
      </c>
      <c r="E877" t="s">
        <v>70</v>
      </c>
      <c r="F877" s="1">
        <v>43771</v>
      </c>
      <c r="G877" t="s">
        <v>2682</v>
      </c>
      <c r="H877" t="s">
        <v>2683</v>
      </c>
      <c r="I877" t="s">
        <v>27</v>
      </c>
      <c r="J877">
        <v>38397.019999999997</v>
      </c>
      <c r="K877">
        <v>316</v>
      </c>
      <c r="L877" t="s">
        <v>60</v>
      </c>
      <c r="M877" s="1">
        <v>43797</v>
      </c>
      <c r="N877" t="s">
        <v>67</v>
      </c>
      <c r="O877" t="s">
        <v>61</v>
      </c>
      <c r="P877">
        <v>26</v>
      </c>
      <c r="Q877" t="s">
        <v>53</v>
      </c>
      <c r="R877" t="s">
        <v>44</v>
      </c>
      <c r="S877">
        <v>11</v>
      </c>
      <c r="T877">
        <v>2019</v>
      </c>
      <c r="U877" t="s">
        <v>62</v>
      </c>
    </row>
    <row r="878" spans="1:21" x14ac:dyDescent="0.3">
      <c r="A878" t="s">
        <v>2684</v>
      </c>
      <c r="B878">
        <v>84</v>
      </c>
      <c r="C878" t="s">
        <v>47</v>
      </c>
      <c r="D878" t="s">
        <v>127</v>
      </c>
      <c r="E878" t="s">
        <v>36</v>
      </c>
      <c r="F878" s="1">
        <v>44816</v>
      </c>
      <c r="G878" t="s">
        <v>2685</v>
      </c>
      <c r="H878" t="s">
        <v>2686</v>
      </c>
      <c r="I878" t="s">
        <v>73</v>
      </c>
      <c r="J878">
        <v>10135.870000000001</v>
      </c>
      <c r="K878">
        <v>469</v>
      </c>
      <c r="L878" t="s">
        <v>28</v>
      </c>
      <c r="M878" s="1">
        <v>44826</v>
      </c>
      <c r="N878" t="s">
        <v>29</v>
      </c>
      <c r="O878" t="s">
        <v>42</v>
      </c>
      <c r="P878">
        <v>10</v>
      </c>
      <c r="Q878" t="s">
        <v>53</v>
      </c>
      <c r="R878" t="s">
        <v>32</v>
      </c>
      <c r="S878">
        <v>9</v>
      </c>
      <c r="T878">
        <v>2022</v>
      </c>
      <c r="U878" t="s">
        <v>54</v>
      </c>
    </row>
    <row r="879" spans="1:21" x14ac:dyDescent="0.3">
      <c r="A879" t="s">
        <v>2687</v>
      </c>
      <c r="B879">
        <v>52</v>
      </c>
      <c r="C879" t="s">
        <v>47</v>
      </c>
      <c r="D879" t="s">
        <v>35</v>
      </c>
      <c r="E879" t="s">
        <v>115</v>
      </c>
      <c r="F879" s="1">
        <v>44206</v>
      </c>
      <c r="G879" t="s">
        <v>2688</v>
      </c>
      <c r="H879" t="s">
        <v>1608</v>
      </c>
      <c r="I879" t="s">
        <v>51</v>
      </c>
      <c r="J879">
        <v>25685.63</v>
      </c>
      <c r="K879">
        <v>260</v>
      </c>
      <c r="L879" t="s">
        <v>40</v>
      </c>
      <c r="M879" s="1">
        <v>44221</v>
      </c>
      <c r="N879" t="s">
        <v>29</v>
      </c>
      <c r="O879" t="s">
        <v>61</v>
      </c>
      <c r="P879">
        <v>15</v>
      </c>
      <c r="Q879" t="s">
        <v>68</v>
      </c>
      <c r="R879" t="s">
        <v>32</v>
      </c>
      <c r="S879">
        <v>1</v>
      </c>
      <c r="T879">
        <v>2021</v>
      </c>
      <c r="U879" t="s">
        <v>33</v>
      </c>
    </row>
    <row r="880" spans="1:21" x14ac:dyDescent="0.3">
      <c r="A880" t="s">
        <v>2689</v>
      </c>
      <c r="B880">
        <v>75</v>
      </c>
      <c r="C880" t="s">
        <v>47</v>
      </c>
      <c r="D880" t="s">
        <v>23</v>
      </c>
      <c r="E880" t="s">
        <v>96</v>
      </c>
      <c r="F880" s="1">
        <v>43774</v>
      </c>
      <c r="G880" t="s">
        <v>2690</v>
      </c>
      <c r="H880" t="s">
        <v>2691</v>
      </c>
      <c r="I880" t="s">
        <v>27</v>
      </c>
      <c r="J880">
        <v>6007.69</v>
      </c>
      <c r="K880">
        <v>426</v>
      </c>
      <c r="L880" t="s">
        <v>40</v>
      </c>
      <c r="M880" s="1">
        <v>43777</v>
      </c>
      <c r="N880" t="s">
        <v>52</v>
      </c>
      <c r="O880" t="s">
        <v>42</v>
      </c>
      <c r="P880">
        <v>3</v>
      </c>
      <c r="Q880" t="s">
        <v>53</v>
      </c>
      <c r="R880" t="s">
        <v>100</v>
      </c>
      <c r="S880">
        <v>11</v>
      </c>
      <c r="T880">
        <v>2019</v>
      </c>
      <c r="U880" t="s">
        <v>62</v>
      </c>
    </row>
    <row r="881" spans="1:21" x14ac:dyDescent="0.3">
      <c r="A881" t="s">
        <v>2692</v>
      </c>
      <c r="B881">
        <v>30</v>
      </c>
      <c r="C881" t="s">
        <v>22</v>
      </c>
      <c r="D881" t="s">
        <v>35</v>
      </c>
      <c r="E881" t="s">
        <v>24</v>
      </c>
      <c r="F881" s="1">
        <v>44244</v>
      </c>
      <c r="G881" t="s">
        <v>2693</v>
      </c>
      <c r="H881" t="s">
        <v>2694</v>
      </c>
      <c r="I881" t="s">
        <v>27</v>
      </c>
      <c r="J881">
        <v>7609.44</v>
      </c>
      <c r="K881">
        <v>404</v>
      </c>
      <c r="L881" t="s">
        <v>28</v>
      </c>
      <c r="M881" s="1">
        <v>44262</v>
      </c>
      <c r="N881" t="s">
        <v>41</v>
      </c>
      <c r="O881" t="s">
        <v>61</v>
      </c>
      <c r="P881">
        <v>18</v>
      </c>
      <c r="Q881" t="s">
        <v>31</v>
      </c>
      <c r="R881" t="s">
        <v>100</v>
      </c>
      <c r="S881">
        <v>2</v>
      </c>
      <c r="T881">
        <v>2021</v>
      </c>
      <c r="U881" t="s">
        <v>278</v>
      </c>
    </row>
    <row r="882" spans="1:21" x14ac:dyDescent="0.3">
      <c r="A882" t="s">
        <v>2695</v>
      </c>
      <c r="B882">
        <v>76</v>
      </c>
      <c r="C882" t="s">
        <v>22</v>
      </c>
      <c r="D882" t="s">
        <v>48</v>
      </c>
      <c r="E882" t="s">
        <v>57</v>
      </c>
      <c r="F882" s="1">
        <v>45081</v>
      </c>
      <c r="G882" t="s">
        <v>2696</v>
      </c>
      <c r="H882" t="s">
        <v>2697</v>
      </c>
      <c r="I882" t="s">
        <v>39</v>
      </c>
      <c r="J882">
        <v>46287.05</v>
      </c>
      <c r="K882">
        <v>451</v>
      </c>
      <c r="L882" t="s">
        <v>40</v>
      </c>
      <c r="M882" s="1">
        <v>45104</v>
      </c>
      <c r="N882" t="s">
        <v>29</v>
      </c>
      <c r="O882" t="s">
        <v>42</v>
      </c>
      <c r="P882">
        <v>23</v>
      </c>
      <c r="Q882" t="s">
        <v>53</v>
      </c>
      <c r="R882" t="s">
        <v>44</v>
      </c>
      <c r="S882">
        <v>6</v>
      </c>
      <c r="T882">
        <v>2023</v>
      </c>
      <c r="U882" t="s">
        <v>118</v>
      </c>
    </row>
    <row r="883" spans="1:21" x14ac:dyDescent="0.3">
      <c r="A883" t="s">
        <v>2698</v>
      </c>
      <c r="B883">
        <v>56</v>
      </c>
      <c r="C883" t="s">
        <v>22</v>
      </c>
      <c r="D883" t="s">
        <v>23</v>
      </c>
      <c r="E883" t="s">
        <v>57</v>
      </c>
      <c r="F883" s="1">
        <v>45176</v>
      </c>
      <c r="G883" t="s">
        <v>2699</v>
      </c>
      <c r="H883" t="s">
        <v>2700</v>
      </c>
      <c r="I883" t="s">
        <v>39</v>
      </c>
      <c r="J883">
        <v>19204.919999999998</v>
      </c>
      <c r="K883">
        <v>131</v>
      </c>
      <c r="L883" t="s">
        <v>40</v>
      </c>
      <c r="M883" s="1">
        <v>45205</v>
      </c>
      <c r="N883" t="s">
        <v>99</v>
      </c>
      <c r="O883" t="s">
        <v>42</v>
      </c>
      <c r="P883">
        <v>29</v>
      </c>
      <c r="Q883" t="s">
        <v>43</v>
      </c>
      <c r="R883" t="s">
        <v>32</v>
      </c>
      <c r="S883">
        <v>9</v>
      </c>
      <c r="T883">
        <v>2023</v>
      </c>
      <c r="U883" t="s">
        <v>54</v>
      </c>
    </row>
    <row r="884" spans="1:21" x14ac:dyDescent="0.3">
      <c r="A884" t="s">
        <v>2701</v>
      </c>
      <c r="B884">
        <v>65</v>
      </c>
      <c r="C884" t="s">
        <v>47</v>
      </c>
      <c r="D884" t="s">
        <v>149</v>
      </c>
      <c r="E884" t="s">
        <v>96</v>
      </c>
      <c r="F884" s="1">
        <v>44833</v>
      </c>
      <c r="G884" t="s">
        <v>2702</v>
      </c>
      <c r="H884" t="s">
        <v>2703</v>
      </c>
      <c r="I884" t="s">
        <v>73</v>
      </c>
      <c r="J884">
        <v>45019.03</v>
      </c>
      <c r="K884">
        <v>237</v>
      </c>
      <c r="L884" t="s">
        <v>40</v>
      </c>
      <c r="M884" s="1">
        <v>44843</v>
      </c>
      <c r="N884" t="s">
        <v>29</v>
      </c>
      <c r="O884" t="s">
        <v>61</v>
      </c>
      <c r="P884">
        <v>10</v>
      </c>
      <c r="Q884" t="s">
        <v>43</v>
      </c>
      <c r="R884" t="s">
        <v>44</v>
      </c>
      <c r="S884">
        <v>9</v>
      </c>
      <c r="T884">
        <v>2022</v>
      </c>
      <c r="U884" t="s">
        <v>54</v>
      </c>
    </row>
    <row r="885" spans="1:21" x14ac:dyDescent="0.3">
      <c r="A885" t="s">
        <v>2704</v>
      </c>
      <c r="B885">
        <v>83</v>
      </c>
      <c r="C885" t="s">
        <v>47</v>
      </c>
      <c r="D885" t="s">
        <v>35</v>
      </c>
      <c r="E885" t="s">
        <v>36</v>
      </c>
      <c r="F885" s="1">
        <v>44595</v>
      </c>
      <c r="G885" t="s">
        <v>2705</v>
      </c>
      <c r="H885" t="s">
        <v>2706</v>
      </c>
      <c r="I885" t="s">
        <v>27</v>
      </c>
      <c r="J885">
        <v>44581.15</v>
      </c>
      <c r="K885">
        <v>374</v>
      </c>
      <c r="L885" t="s">
        <v>28</v>
      </c>
      <c r="M885" s="1">
        <v>44600</v>
      </c>
      <c r="N885" t="s">
        <v>67</v>
      </c>
      <c r="O885" t="s">
        <v>61</v>
      </c>
      <c r="P885">
        <v>5</v>
      </c>
      <c r="Q885" t="s">
        <v>53</v>
      </c>
      <c r="R885" t="s">
        <v>44</v>
      </c>
      <c r="S885">
        <v>2</v>
      </c>
      <c r="T885">
        <v>2022</v>
      </c>
      <c r="U885" t="s">
        <v>278</v>
      </c>
    </row>
    <row r="886" spans="1:21" x14ac:dyDescent="0.3">
      <c r="A886" t="s">
        <v>2707</v>
      </c>
      <c r="B886">
        <v>43</v>
      </c>
      <c r="C886" t="s">
        <v>47</v>
      </c>
      <c r="D886" t="s">
        <v>127</v>
      </c>
      <c r="E886" t="s">
        <v>96</v>
      </c>
      <c r="F886" s="1">
        <v>45336</v>
      </c>
      <c r="G886" t="s">
        <v>2708</v>
      </c>
      <c r="H886" t="s">
        <v>2709</v>
      </c>
      <c r="I886" t="s">
        <v>39</v>
      </c>
      <c r="J886">
        <v>8726.7000000000007</v>
      </c>
      <c r="K886">
        <v>164</v>
      </c>
      <c r="L886" t="s">
        <v>60</v>
      </c>
      <c r="M886" s="1">
        <v>45353</v>
      </c>
      <c r="N886" t="s">
        <v>67</v>
      </c>
      <c r="O886" t="s">
        <v>42</v>
      </c>
      <c r="P886">
        <v>17</v>
      </c>
      <c r="Q886" t="s">
        <v>68</v>
      </c>
      <c r="R886" t="s">
        <v>100</v>
      </c>
      <c r="S886">
        <v>2</v>
      </c>
      <c r="T886">
        <v>2024</v>
      </c>
      <c r="U886" t="s">
        <v>278</v>
      </c>
    </row>
    <row r="887" spans="1:21" x14ac:dyDescent="0.3">
      <c r="A887" t="s">
        <v>2710</v>
      </c>
      <c r="B887">
        <v>84</v>
      </c>
      <c r="C887" t="s">
        <v>22</v>
      </c>
      <c r="D887" t="s">
        <v>35</v>
      </c>
      <c r="E887" t="s">
        <v>96</v>
      </c>
      <c r="F887" s="1">
        <v>44084</v>
      </c>
      <c r="G887" t="s">
        <v>2711</v>
      </c>
      <c r="H887" t="s">
        <v>2712</v>
      </c>
      <c r="I887" t="s">
        <v>82</v>
      </c>
      <c r="J887">
        <v>41966.57</v>
      </c>
      <c r="K887">
        <v>293</v>
      </c>
      <c r="L887" t="s">
        <v>28</v>
      </c>
      <c r="M887" s="1">
        <v>44095</v>
      </c>
      <c r="N887" t="s">
        <v>41</v>
      </c>
      <c r="O887" t="s">
        <v>42</v>
      </c>
      <c r="P887">
        <v>11</v>
      </c>
      <c r="Q887" t="s">
        <v>53</v>
      </c>
      <c r="R887" t="s">
        <v>44</v>
      </c>
      <c r="S887">
        <v>9</v>
      </c>
      <c r="T887">
        <v>2020</v>
      </c>
      <c r="U887" t="s">
        <v>54</v>
      </c>
    </row>
    <row r="888" spans="1:21" x14ac:dyDescent="0.3">
      <c r="A888" t="s">
        <v>2713</v>
      </c>
      <c r="B888">
        <v>84</v>
      </c>
      <c r="C888" t="s">
        <v>47</v>
      </c>
      <c r="D888" t="s">
        <v>127</v>
      </c>
      <c r="E888" t="s">
        <v>96</v>
      </c>
      <c r="F888" s="1">
        <v>44950</v>
      </c>
      <c r="G888" t="s">
        <v>2714</v>
      </c>
      <c r="H888" t="s">
        <v>2715</v>
      </c>
      <c r="I888" t="s">
        <v>27</v>
      </c>
      <c r="J888">
        <v>44255.33</v>
      </c>
      <c r="K888">
        <v>102</v>
      </c>
      <c r="L888" t="s">
        <v>28</v>
      </c>
      <c r="M888" s="1">
        <v>44953</v>
      </c>
      <c r="N888" t="s">
        <v>99</v>
      </c>
      <c r="O888" t="s">
        <v>42</v>
      </c>
      <c r="P888">
        <v>3</v>
      </c>
      <c r="Q888" t="s">
        <v>53</v>
      </c>
      <c r="R888" t="s">
        <v>44</v>
      </c>
      <c r="S888">
        <v>1</v>
      </c>
      <c r="T888">
        <v>2023</v>
      </c>
      <c r="U888" t="s">
        <v>33</v>
      </c>
    </row>
    <row r="889" spans="1:21" x14ac:dyDescent="0.3">
      <c r="A889" t="s">
        <v>2716</v>
      </c>
      <c r="B889">
        <v>77</v>
      </c>
      <c r="C889" t="s">
        <v>22</v>
      </c>
      <c r="D889" t="s">
        <v>149</v>
      </c>
      <c r="E889" t="s">
        <v>36</v>
      </c>
      <c r="F889" s="1">
        <v>44470</v>
      </c>
      <c r="G889" t="s">
        <v>2717</v>
      </c>
      <c r="H889" t="s">
        <v>2718</v>
      </c>
      <c r="I889" t="s">
        <v>73</v>
      </c>
      <c r="J889">
        <v>43644.34</v>
      </c>
      <c r="K889">
        <v>298</v>
      </c>
      <c r="L889" t="s">
        <v>40</v>
      </c>
      <c r="M889" s="1">
        <v>44492</v>
      </c>
      <c r="N889" t="s">
        <v>29</v>
      </c>
      <c r="O889" t="s">
        <v>61</v>
      </c>
      <c r="P889">
        <v>22</v>
      </c>
      <c r="Q889" t="s">
        <v>53</v>
      </c>
      <c r="R889" t="s">
        <v>44</v>
      </c>
      <c r="S889">
        <v>10</v>
      </c>
      <c r="T889">
        <v>2021</v>
      </c>
      <c r="U889" t="s">
        <v>110</v>
      </c>
    </row>
    <row r="890" spans="1:21" x14ac:dyDescent="0.3">
      <c r="A890" t="s">
        <v>2719</v>
      </c>
      <c r="B890">
        <v>60</v>
      </c>
      <c r="C890" t="s">
        <v>22</v>
      </c>
      <c r="D890" t="s">
        <v>56</v>
      </c>
      <c r="E890" t="s">
        <v>115</v>
      </c>
      <c r="F890" s="1">
        <v>44352</v>
      </c>
      <c r="G890" t="s">
        <v>2720</v>
      </c>
      <c r="H890" t="s">
        <v>2721</v>
      </c>
      <c r="I890" t="s">
        <v>27</v>
      </c>
      <c r="J890">
        <v>45304.39</v>
      </c>
      <c r="K890">
        <v>424</v>
      </c>
      <c r="L890" t="s">
        <v>60</v>
      </c>
      <c r="M890" s="1">
        <v>44358</v>
      </c>
      <c r="N890" t="s">
        <v>67</v>
      </c>
      <c r="O890" t="s">
        <v>42</v>
      </c>
      <c r="P890">
        <v>6</v>
      </c>
      <c r="Q890" t="s">
        <v>43</v>
      </c>
      <c r="R890" t="s">
        <v>44</v>
      </c>
      <c r="S890">
        <v>6</v>
      </c>
      <c r="T890">
        <v>2021</v>
      </c>
      <c r="U890" t="s">
        <v>118</v>
      </c>
    </row>
    <row r="891" spans="1:21" x14ac:dyDescent="0.3">
      <c r="A891" t="s">
        <v>2722</v>
      </c>
      <c r="B891">
        <v>48</v>
      </c>
      <c r="C891" t="s">
        <v>22</v>
      </c>
      <c r="D891" t="s">
        <v>56</v>
      </c>
      <c r="E891" t="s">
        <v>115</v>
      </c>
      <c r="F891" s="1">
        <v>45147</v>
      </c>
      <c r="G891" t="s">
        <v>2723</v>
      </c>
      <c r="H891" t="s">
        <v>2724</v>
      </c>
      <c r="I891" t="s">
        <v>73</v>
      </c>
      <c r="J891">
        <v>18891.919999999998</v>
      </c>
      <c r="K891">
        <v>274</v>
      </c>
      <c r="L891" t="s">
        <v>28</v>
      </c>
      <c r="M891" s="1">
        <v>45164</v>
      </c>
      <c r="N891" t="s">
        <v>29</v>
      </c>
      <c r="O891" t="s">
        <v>42</v>
      </c>
      <c r="P891">
        <v>17</v>
      </c>
      <c r="Q891" t="s">
        <v>68</v>
      </c>
      <c r="R891" t="s">
        <v>32</v>
      </c>
      <c r="S891">
        <v>8</v>
      </c>
      <c r="T891">
        <v>2023</v>
      </c>
      <c r="U891" t="s">
        <v>45</v>
      </c>
    </row>
    <row r="892" spans="1:21" x14ac:dyDescent="0.3">
      <c r="A892" t="s">
        <v>2725</v>
      </c>
      <c r="B892">
        <v>80</v>
      </c>
      <c r="C892" t="s">
        <v>47</v>
      </c>
      <c r="D892" t="s">
        <v>23</v>
      </c>
      <c r="E892" t="s">
        <v>70</v>
      </c>
      <c r="F892" s="1">
        <v>44187</v>
      </c>
      <c r="G892" t="s">
        <v>2726</v>
      </c>
      <c r="H892" t="s">
        <v>2727</v>
      </c>
      <c r="I892" t="s">
        <v>51</v>
      </c>
      <c r="J892">
        <v>18381.580000000002</v>
      </c>
      <c r="K892">
        <v>261</v>
      </c>
      <c r="L892" t="s">
        <v>28</v>
      </c>
      <c r="M892" s="1">
        <v>44212</v>
      </c>
      <c r="N892" t="s">
        <v>41</v>
      </c>
      <c r="O892" t="s">
        <v>30</v>
      </c>
      <c r="P892">
        <v>25</v>
      </c>
      <c r="Q892" t="s">
        <v>53</v>
      </c>
      <c r="R892" t="s">
        <v>32</v>
      </c>
      <c r="S892">
        <v>12</v>
      </c>
      <c r="T892">
        <v>2020</v>
      </c>
      <c r="U892" t="s">
        <v>74</v>
      </c>
    </row>
    <row r="893" spans="1:21" x14ac:dyDescent="0.3">
      <c r="A893" t="s">
        <v>2728</v>
      </c>
      <c r="B893">
        <v>46</v>
      </c>
      <c r="C893" t="s">
        <v>22</v>
      </c>
      <c r="D893" t="s">
        <v>35</v>
      </c>
      <c r="E893" t="s">
        <v>96</v>
      </c>
      <c r="F893" s="1">
        <v>44733</v>
      </c>
      <c r="G893" t="s">
        <v>2729</v>
      </c>
      <c r="H893" t="s">
        <v>2730</v>
      </c>
      <c r="I893" t="s">
        <v>82</v>
      </c>
      <c r="J893">
        <v>42316.12</v>
      </c>
      <c r="K893">
        <v>360</v>
      </c>
      <c r="L893" t="s">
        <v>60</v>
      </c>
      <c r="M893" s="1">
        <v>44752</v>
      </c>
      <c r="N893" t="s">
        <v>29</v>
      </c>
      <c r="O893" t="s">
        <v>42</v>
      </c>
      <c r="P893">
        <v>19</v>
      </c>
      <c r="Q893" t="s">
        <v>68</v>
      </c>
      <c r="R893" t="s">
        <v>44</v>
      </c>
      <c r="S893">
        <v>6</v>
      </c>
      <c r="T893">
        <v>2022</v>
      </c>
      <c r="U893" t="s">
        <v>118</v>
      </c>
    </row>
    <row r="894" spans="1:21" x14ac:dyDescent="0.3">
      <c r="A894" t="s">
        <v>2731</v>
      </c>
      <c r="B894">
        <v>38</v>
      </c>
      <c r="C894" t="s">
        <v>22</v>
      </c>
      <c r="D894" t="s">
        <v>23</v>
      </c>
      <c r="E894" t="s">
        <v>115</v>
      </c>
      <c r="F894" s="1">
        <v>44321</v>
      </c>
      <c r="G894" t="s">
        <v>2732</v>
      </c>
      <c r="H894" t="s">
        <v>2733</v>
      </c>
      <c r="I894" t="s">
        <v>39</v>
      </c>
      <c r="J894">
        <v>15072.57</v>
      </c>
      <c r="K894">
        <v>321</v>
      </c>
      <c r="L894" t="s">
        <v>60</v>
      </c>
      <c r="M894" s="1">
        <v>44331</v>
      </c>
      <c r="N894" t="s">
        <v>67</v>
      </c>
      <c r="O894" t="s">
        <v>61</v>
      </c>
      <c r="P894">
        <v>10</v>
      </c>
      <c r="Q894" t="s">
        <v>68</v>
      </c>
      <c r="R894" t="s">
        <v>32</v>
      </c>
      <c r="S894">
        <v>5</v>
      </c>
      <c r="T894">
        <v>2021</v>
      </c>
      <c r="U894" t="s">
        <v>90</v>
      </c>
    </row>
    <row r="895" spans="1:21" x14ac:dyDescent="0.3">
      <c r="A895" t="s">
        <v>2734</v>
      </c>
      <c r="B895">
        <v>72</v>
      </c>
      <c r="C895" t="s">
        <v>47</v>
      </c>
      <c r="D895" t="s">
        <v>48</v>
      </c>
      <c r="E895" t="s">
        <v>70</v>
      </c>
      <c r="F895" s="1">
        <v>45402</v>
      </c>
      <c r="G895" t="s">
        <v>2735</v>
      </c>
      <c r="H895" t="s">
        <v>2736</v>
      </c>
      <c r="I895" t="s">
        <v>82</v>
      </c>
      <c r="J895">
        <v>7380.73</v>
      </c>
      <c r="K895">
        <v>124</v>
      </c>
      <c r="L895" t="s">
        <v>60</v>
      </c>
      <c r="M895" s="1">
        <v>45422</v>
      </c>
      <c r="N895" t="s">
        <v>52</v>
      </c>
      <c r="O895" t="s">
        <v>30</v>
      </c>
      <c r="P895">
        <v>20</v>
      </c>
      <c r="Q895" t="s">
        <v>53</v>
      </c>
      <c r="R895" t="s">
        <v>100</v>
      </c>
      <c r="S895">
        <v>4</v>
      </c>
      <c r="T895">
        <v>2024</v>
      </c>
      <c r="U895" t="s">
        <v>94</v>
      </c>
    </row>
    <row r="896" spans="1:21" x14ac:dyDescent="0.3">
      <c r="A896" t="s">
        <v>2737</v>
      </c>
      <c r="B896">
        <v>70</v>
      </c>
      <c r="C896" t="s">
        <v>47</v>
      </c>
      <c r="D896" t="s">
        <v>35</v>
      </c>
      <c r="E896" t="s">
        <v>70</v>
      </c>
      <c r="F896" s="1">
        <v>44725</v>
      </c>
      <c r="G896" t="s">
        <v>2738</v>
      </c>
      <c r="H896" t="s">
        <v>2739</v>
      </c>
      <c r="I896" t="s">
        <v>73</v>
      </c>
      <c r="J896">
        <v>5936.36</v>
      </c>
      <c r="K896">
        <v>117</v>
      </c>
      <c r="L896" t="s">
        <v>60</v>
      </c>
      <c r="M896" s="1">
        <v>44747</v>
      </c>
      <c r="N896" t="s">
        <v>99</v>
      </c>
      <c r="O896" t="s">
        <v>61</v>
      </c>
      <c r="P896">
        <v>22</v>
      </c>
      <c r="Q896" t="s">
        <v>43</v>
      </c>
      <c r="R896" t="s">
        <v>100</v>
      </c>
      <c r="S896">
        <v>6</v>
      </c>
      <c r="T896">
        <v>2022</v>
      </c>
      <c r="U896" t="s">
        <v>118</v>
      </c>
    </row>
    <row r="897" spans="1:21" x14ac:dyDescent="0.3">
      <c r="A897" t="s">
        <v>2740</v>
      </c>
      <c r="B897">
        <v>46</v>
      </c>
      <c r="C897" t="s">
        <v>47</v>
      </c>
      <c r="D897" t="s">
        <v>56</v>
      </c>
      <c r="E897" t="s">
        <v>96</v>
      </c>
      <c r="F897" s="1">
        <v>45170</v>
      </c>
      <c r="G897" t="s">
        <v>2741</v>
      </c>
      <c r="H897" t="s">
        <v>2742</v>
      </c>
      <c r="I897" t="s">
        <v>82</v>
      </c>
      <c r="J897">
        <v>7704.3</v>
      </c>
      <c r="K897">
        <v>331</v>
      </c>
      <c r="L897" t="s">
        <v>40</v>
      </c>
      <c r="M897" s="1">
        <v>45187</v>
      </c>
      <c r="N897" t="s">
        <v>67</v>
      </c>
      <c r="O897" t="s">
        <v>61</v>
      </c>
      <c r="P897">
        <v>17</v>
      </c>
      <c r="Q897" t="s">
        <v>68</v>
      </c>
      <c r="R897" t="s">
        <v>100</v>
      </c>
      <c r="S897">
        <v>9</v>
      </c>
      <c r="T897">
        <v>2023</v>
      </c>
      <c r="U897" t="s">
        <v>54</v>
      </c>
    </row>
    <row r="898" spans="1:21" x14ac:dyDescent="0.3">
      <c r="A898" t="s">
        <v>2743</v>
      </c>
      <c r="B898">
        <v>82</v>
      </c>
      <c r="C898" t="s">
        <v>22</v>
      </c>
      <c r="D898" t="s">
        <v>64</v>
      </c>
      <c r="E898" t="s">
        <v>24</v>
      </c>
      <c r="F898" s="1">
        <v>43904</v>
      </c>
      <c r="G898" t="s">
        <v>2744</v>
      </c>
      <c r="H898" t="s">
        <v>2745</v>
      </c>
      <c r="I898" t="s">
        <v>27</v>
      </c>
      <c r="J898">
        <v>12099.79</v>
      </c>
      <c r="K898">
        <v>440</v>
      </c>
      <c r="L898" t="s">
        <v>28</v>
      </c>
      <c r="M898" s="1">
        <v>43922</v>
      </c>
      <c r="N898" t="s">
        <v>67</v>
      </c>
      <c r="O898" t="s">
        <v>30</v>
      </c>
      <c r="P898">
        <v>18</v>
      </c>
      <c r="Q898" t="s">
        <v>53</v>
      </c>
      <c r="R898" t="s">
        <v>32</v>
      </c>
      <c r="S898">
        <v>3</v>
      </c>
      <c r="T898">
        <v>2020</v>
      </c>
      <c r="U898" t="s">
        <v>122</v>
      </c>
    </row>
    <row r="899" spans="1:21" x14ac:dyDescent="0.3">
      <c r="A899" t="s">
        <v>2746</v>
      </c>
      <c r="B899">
        <v>44</v>
      </c>
      <c r="C899" t="s">
        <v>47</v>
      </c>
      <c r="D899" t="s">
        <v>35</v>
      </c>
      <c r="E899" t="s">
        <v>96</v>
      </c>
      <c r="F899" s="1">
        <v>44717</v>
      </c>
      <c r="G899" t="s">
        <v>2747</v>
      </c>
      <c r="H899" t="s">
        <v>2748</v>
      </c>
      <c r="I899" t="s">
        <v>27</v>
      </c>
      <c r="J899">
        <v>17202.900000000001</v>
      </c>
      <c r="K899">
        <v>308</v>
      </c>
      <c r="L899" t="s">
        <v>60</v>
      </c>
      <c r="M899" s="1">
        <v>44741</v>
      </c>
      <c r="N899" t="s">
        <v>41</v>
      </c>
      <c r="O899" t="s">
        <v>42</v>
      </c>
      <c r="P899">
        <v>24</v>
      </c>
      <c r="Q899" t="s">
        <v>68</v>
      </c>
      <c r="R899" t="s">
        <v>32</v>
      </c>
      <c r="S899">
        <v>6</v>
      </c>
      <c r="T899">
        <v>2022</v>
      </c>
      <c r="U899" t="s">
        <v>118</v>
      </c>
    </row>
    <row r="900" spans="1:21" x14ac:dyDescent="0.3">
      <c r="A900" t="s">
        <v>2749</v>
      </c>
      <c r="B900">
        <v>34</v>
      </c>
      <c r="C900" t="s">
        <v>47</v>
      </c>
      <c r="D900" t="s">
        <v>56</v>
      </c>
      <c r="E900" t="s">
        <v>70</v>
      </c>
      <c r="F900" s="1">
        <v>43818</v>
      </c>
      <c r="G900" t="s">
        <v>2750</v>
      </c>
      <c r="H900" t="s">
        <v>2751</v>
      </c>
      <c r="I900" t="s">
        <v>73</v>
      </c>
      <c r="J900">
        <v>25275.94</v>
      </c>
      <c r="K900">
        <v>475</v>
      </c>
      <c r="L900" t="s">
        <v>28</v>
      </c>
      <c r="M900" s="1">
        <v>43846</v>
      </c>
      <c r="N900" t="s">
        <v>41</v>
      </c>
      <c r="O900" t="s">
        <v>42</v>
      </c>
      <c r="P900">
        <v>28</v>
      </c>
      <c r="Q900" t="s">
        <v>31</v>
      </c>
      <c r="R900" t="s">
        <v>32</v>
      </c>
      <c r="S900">
        <v>12</v>
      </c>
      <c r="T900">
        <v>2019</v>
      </c>
      <c r="U900" t="s">
        <v>74</v>
      </c>
    </row>
    <row r="901" spans="1:21" x14ac:dyDescent="0.3">
      <c r="A901" t="s">
        <v>2752</v>
      </c>
      <c r="B901">
        <v>49</v>
      </c>
      <c r="C901" t="s">
        <v>22</v>
      </c>
      <c r="D901" t="s">
        <v>48</v>
      </c>
      <c r="E901" t="s">
        <v>96</v>
      </c>
      <c r="F901" s="1">
        <v>44171</v>
      </c>
      <c r="G901" t="s">
        <v>2753</v>
      </c>
      <c r="H901" t="s">
        <v>2754</v>
      </c>
      <c r="I901" t="s">
        <v>51</v>
      </c>
      <c r="J901">
        <v>17002.3</v>
      </c>
      <c r="K901">
        <v>194</v>
      </c>
      <c r="L901" t="s">
        <v>40</v>
      </c>
      <c r="M901" s="1">
        <v>44174</v>
      </c>
      <c r="N901" t="s">
        <v>41</v>
      </c>
      <c r="O901" t="s">
        <v>30</v>
      </c>
      <c r="P901">
        <v>3</v>
      </c>
      <c r="Q901" t="s">
        <v>68</v>
      </c>
      <c r="R901" t="s">
        <v>32</v>
      </c>
      <c r="S901">
        <v>12</v>
      </c>
      <c r="T901">
        <v>2020</v>
      </c>
      <c r="U901" t="s">
        <v>74</v>
      </c>
    </row>
    <row r="902" spans="1:21" x14ac:dyDescent="0.3">
      <c r="A902" t="s">
        <v>2755</v>
      </c>
      <c r="B902">
        <v>44</v>
      </c>
      <c r="C902" t="s">
        <v>47</v>
      </c>
      <c r="D902" t="s">
        <v>127</v>
      </c>
      <c r="E902" t="s">
        <v>24</v>
      </c>
      <c r="F902" s="1">
        <v>43598</v>
      </c>
      <c r="G902" t="s">
        <v>2756</v>
      </c>
      <c r="H902" t="s">
        <v>2757</v>
      </c>
      <c r="I902" t="s">
        <v>39</v>
      </c>
      <c r="J902">
        <v>4794.75</v>
      </c>
      <c r="K902">
        <v>382</v>
      </c>
      <c r="L902" t="s">
        <v>40</v>
      </c>
      <c r="M902" s="1">
        <v>43626</v>
      </c>
      <c r="N902" t="s">
        <v>29</v>
      </c>
      <c r="O902" t="s">
        <v>42</v>
      </c>
      <c r="P902">
        <v>28</v>
      </c>
      <c r="Q902" t="s">
        <v>68</v>
      </c>
      <c r="R902" t="s">
        <v>100</v>
      </c>
      <c r="S902">
        <v>5</v>
      </c>
      <c r="T902">
        <v>2019</v>
      </c>
      <c r="U902" t="s">
        <v>90</v>
      </c>
    </row>
    <row r="903" spans="1:21" x14ac:dyDescent="0.3">
      <c r="A903" t="s">
        <v>2758</v>
      </c>
      <c r="B903">
        <v>37</v>
      </c>
      <c r="C903" t="s">
        <v>22</v>
      </c>
      <c r="D903" t="s">
        <v>48</v>
      </c>
      <c r="E903" t="s">
        <v>96</v>
      </c>
      <c r="F903" s="1">
        <v>44943</v>
      </c>
      <c r="G903" t="s">
        <v>2759</v>
      </c>
      <c r="H903" t="s">
        <v>2760</v>
      </c>
      <c r="I903" t="s">
        <v>82</v>
      </c>
      <c r="J903">
        <v>7241.2</v>
      </c>
      <c r="K903">
        <v>316</v>
      </c>
      <c r="L903" t="s">
        <v>60</v>
      </c>
      <c r="M903" s="1">
        <v>44962</v>
      </c>
      <c r="N903" t="s">
        <v>67</v>
      </c>
      <c r="O903" t="s">
        <v>30</v>
      </c>
      <c r="P903">
        <v>19</v>
      </c>
      <c r="Q903" t="s">
        <v>68</v>
      </c>
      <c r="R903" t="s">
        <v>100</v>
      </c>
      <c r="S903">
        <v>1</v>
      </c>
      <c r="T903">
        <v>2023</v>
      </c>
      <c r="U903" t="s">
        <v>33</v>
      </c>
    </row>
    <row r="904" spans="1:21" x14ac:dyDescent="0.3">
      <c r="A904" t="s">
        <v>2761</v>
      </c>
      <c r="B904">
        <v>37</v>
      </c>
      <c r="C904" t="s">
        <v>22</v>
      </c>
      <c r="D904" t="s">
        <v>76</v>
      </c>
      <c r="E904" t="s">
        <v>115</v>
      </c>
      <c r="F904" s="1">
        <v>44770</v>
      </c>
      <c r="G904" t="s">
        <v>2762</v>
      </c>
      <c r="H904" t="s">
        <v>2763</v>
      </c>
      <c r="I904" t="s">
        <v>51</v>
      </c>
      <c r="J904">
        <v>45218.74</v>
      </c>
      <c r="K904">
        <v>346</v>
      </c>
      <c r="L904" t="s">
        <v>60</v>
      </c>
      <c r="M904" s="1">
        <v>44789</v>
      </c>
      <c r="N904" t="s">
        <v>52</v>
      </c>
      <c r="O904" t="s">
        <v>61</v>
      </c>
      <c r="P904">
        <v>19</v>
      </c>
      <c r="Q904" t="s">
        <v>68</v>
      </c>
      <c r="R904" t="s">
        <v>44</v>
      </c>
      <c r="S904">
        <v>7</v>
      </c>
      <c r="T904">
        <v>2022</v>
      </c>
      <c r="U904" t="s">
        <v>86</v>
      </c>
    </row>
    <row r="905" spans="1:21" x14ac:dyDescent="0.3">
      <c r="A905" t="s">
        <v>2764</v>
      </c>
      <c r="B905">
        <v>58</v>
      </c>
      <c r="C905" t="s">
        <v>47</v>
      </c>
      <c r="D905" t="s">
        <v>56</v>
      </c>
      <c r="E905" t="s">
        <v>57</v>
      </c>
      <c r="F905" s="1">
        <v>44849</v>
      </c>
      <c r="G905" t="s">
        <v>2765</v>
      </c>
      <c r="H905" t="s">
        <v>2766</v>
      </c>
      <c r="I905" t="s">
        <v>82</v>
      </c>
      <c r="J905">
        <v>32052.06</v>
      </c>
      <c r="K905">
        <v>109</v>
      </c>
      <c r="L905" t="s">
        <v>28</v>
      </c>
      <c r="M905" s="1">
        <v>44870</v>
      </c>
      <c r="N905" t="s">
        <v>41</v>
      </c>
      <c r="O905" t="s">
        <v>61</v>
      </c>
      <c r="P905">
        <v>21</v>
      </c>
      <c r="Q905" t="s">
        <v>43</v>
      </c>
      <c r="R905" t="s">
        <v>44</v>
      </c>
      <c r="S905">
        <v>10</v>
      </c>
      <c r="T905">
        <v>2022</v>
      </c>
      <c r="U905" t="s">
        <v>110</v>
      </c>
    </row>
    <row r="906" spans="1:21" x14ac:dyDescent="0.3">
      <c r="A906" t="s">
        <v>2767</v>
      </c>
      <c r="B906">
        <v>20</v>
      </c>
      <c r="C906" t="s">
        <v>47</v>
      </c>
      <c r="D906" t="s">
        <v>35</v>
      </c>
      <c r="E906" t="s">
        <v>36</v>
      </c>
      <c r="F906" s="1">
        <v>43976</v>
      </c>
      <c r="G906" t="s">
        <v>2768</v>
      </c>
      <c r="H906" t="s">
        <v>2769</v>
      </c>
      <c r="I906" t="s">
        <v>39</v>
      </c>
      <c r="J906">
        <v>30718.55</v>
      </c>
      <c r="K906">
        <v>226</v>
      </c>
      <c r="L906" t="s">
        <v>60</v>
      </c>
      <c r="M906" s="1">
        <v>43988</v>
      </c>
      <c r="N906" t="s">
        <v>41</v>
      </c>
      <c r="O906" t="s">
        <v>30</v>
      </c>
      <c r="P906">
        <v>12</v>
      </c>
      <c r="Q906" t="s">
        <v>31</v>
      </c>
      <c r="R906" t="s">
        <v>44</v>
      </c>
      <c r="S906">
        <v>5</v>
      </c>
      <c r="T906">
        <v>2020</v>
      </c>
      <c r="U906" t="s">
        <v>90</v>
      </c>
    </row>
    <row r="907" spans="1:21" x14ac:dyDescent="0.3">
      <c r="A907" t="s">
        <v>2770</v>
      </c>
      <c r="B907">
        <v>43</v>
      </c>
      <c r="C907" t="s">
        <v>22</v>
      </c>
      <c r="D907" t="s">
        <v>48</v>
      </c>
      <c r="E907" t="s">
        <v>36</v>
      </c>
      <c r="F907" s="1">
        <v>44240</v>
      </c>
      <c r="G907" t="s">
        <v>2771</v>
      </c>
      <c r="H907" t="s">
        <v>2772</v>
      </c>
      <c r="I907" t="s">
        <v>73</v>
      </c>
      <c r="J907">
        <v>51441.73</v>
      </c>
      <c r="K907">
        <v>449</v>
      </c>
      <c r="L907" t="s">
        <v>28</v>
      </c>
      <c r="M907" s="1">
        <v>44258</v>
      </c>
      <c r="N907" t="s">
        <v>52</v>
      </c>
      <c r="O907" t="s">
        <v>61</v>
      </c>
      <c r="P907">
        <v>18</v>
      </c>
      <c r="Q907" t="s">
        <v>68</v>
      </c>
      <c r="R907" t="s">
        <v>44</v>
      </c>
      <c r="S907">
        <v>2</v>
      </c>
      <c r="T907">
        <v>2021</v>
      </c>
      <c r="U907" t="s">
        <v>278</v>
      </c>
    </row>
    <row r="908" spans="1:21" x14ac:dyDescent="0.3">
      <c r="A908" t="s">
        <v>2773</v>
      </c>
      <c r="B908">
        <v>57</v>
      </c>
      <c r="C908" t="s">
        <v>47</v>
      </c>
      <c r="D908" t="s">
        <v>76</v>
      </c>
      <c r="E908" t="s">
        <v>24</v>
      </c>
      <c r="F908" s="1">
        <v>45077</v>
      </c>
      <c r="G908" t="s">
        <v>2774</v>
      </c>
      <c r="H908" t="s">
        <v>2775</v>
      </c>
      <c r="I908" t="s">
        <v>27</v>
      </c>
      <c r="J908">
        <v>1821.35</v>
      </c>
      <c r="K908">
        <v>379</v>
      </c>
      <c r="L908" t="s">
        <v>40</v>
      </c>
      <c r="M908" s="1">
        <v>45102</v>
      </c>
      <c r="N908" t="s">
        <v>67</v>
      </c>
      <c r="O908" t="s">
        <v>42</v>
      </c>
      <c r="P908">
        <v>25</v>
      </c>
      <c r="Q908" t="s">
        <v>43</v>
      </c>
      <c r="R908" t="s">
        <v>100</v>
      </c>
      <c r="S908">
        <v>5</v>
      </c>
      <c r="T908">
        <v>2023</v>
      </c>
      <c r="U908" t="s">
        <v>90</v>
      </c>
    </row>
    <row r="909" spans="1:21" x14ac:dyDescent="0.3">
      <c r="A909" t="s">
        <v>2776</v>
      </c>
      <c r="B909">
        <v>76</v>
      </c>
      <c r="C909" t="s">
        <v>22</v>
      </c>
      <c r="D909" t="s">
        <v>64</v>
      </c>
      <c r="E909" t="s">
        <v>115</v>
      </c>
      <c r="F909" s="1">
        <v>43848</v>
      </c>
      <c r="G909" t="s">
        <v>1109</v>
      </c>
      <c r="H909" t="s">
        <v>2777</v>
      </c>
      <c r="I909" t="s">
        <v>51</v>
      </c>
      <c r="J909">
        <v>23857.5</v>
      </c>
      <c r="K909">
        <v>214</v>
      </c>
      <c r="L909" t="s">
        <v>28</v>
      </c>
      <c r="M909" s="1">
        <v>43856</v>
      </c>
      <c r="N909" t="s">
        <v>29</v>
      </c>
      <c r="O909" t="s">
        <v>42</v>
      </c>
      <c r="P909">
        <v>8</v>
      </c>
      <c r="Q909" t="s">
        <v>53</v>
      </c>
      <c r="R909" t="s">
        <v>32</v>
      </c>
      <c r="S909">
        <v>1</v>
      </c>
      <c r="T909">
        <v>2020</v>
      </c>
      <c r="U909" t="s">
        <v>33</v>
      </c>
    </row>
    <row r="910" spans="1:21" x14ac:dyDescent="0.3">
      <c r="A910" t="s">
        <v>2778</v>
      </c>
      <c r="B910">
        <v>53</v>
      </c>
      <c r="C910" t="s">
        <v>47</v>
      </c>
      <c r="D910" t="s">
        <v>23</v>
      </c>
      <c r="E910" t="s">
        <v>24</v>
      </c>
      <c r="F910" s="1">
        <v>44062</v>
      </c>
      <c r="G910" t="s">
        <v>2779</v>
      </c>
      <c r="H910" t="s">
        <v>2780</v>
      </c>
      <c r="I910" t="s">
        <v>82</v>
      </c>
      <c r="J910">
        <v>4795.51</v>
      </c>
      <c r="K910">
        <v>152</v>
      </c>
      <c r="L910" t="s">
        <v>28</v>
      </c>
      <c r="M910" s="1">
        <v>44071</v>
      </c>
      <c r="N910" t="s">
        <v>67</v>
      </c>
      <c r="O910" t="s">
        <v>61</v>
      </c>
      <c r="P910">
        <v>9</v>
      </c>
      <c r="Q910" t="s">
        <v>68</v>
      </c>
      <c r="R910" t="s">
        <v>100</v>
      </c>
      <c r="S910">
        <v>8</v>
      </c>
      <c r="T910">
        <v>2020</v>
      </c>
      <c r="U910" t="s">
        <v>45</v>
      </c>
    </row>
    <row r="911" spans="1:21" x14ac:dyDescent="0.3">
      <c r="A911" t="s">
        <v>2781</v>
      </c>
      <c r="B911">
        <v>45</v>
      </c>
      <c r="C911" t="s">
        <v>22</v>
      </c>
      <c r="D911" t="s">
        <v>48</v>
      </c>
      <c r="E911" t="s">
        <v>57</v>
      </c>
      <c r="F911" s="1">
        <v>44919</v>
      </c>
      <c r="G911" t="s">
        <v>2782</v>
      </c>
      <c r="H911" t="s">
        <v>2783</v>
      </c>
      <c r="I911" t="s">
        <v>73</v>
      </c>
      <c r="J911">
        <v>25500.71</v>
      </c>
      <c r="K911">
        <v>415</v>
      </c>
      <c r="L911" t="s">
        <v>40</v>
      </c>
      <c r="M911" s="1">
        <v>44948</v>
      </c>
      <c r="N911" t="s">
        <v>41</v>
      </c>
      <c r="O911" t="s">
        <v>30</v>
      </c>
      <c r="P911">
        <v>29</v>
      </c>
      <c r="Q911" t="s">
        <v>68</v>
      </c>
      <c r="R911" t="s">
        <v>32</v>
      </c>
      <c r="S911">
        <v>12</v>
      </c>
      <c r="T911">
        <v>2022</v>
      </c>
      <c r="U911" t="s">
        <v>74</v>
      </c>
    </row>
    <row r="912" spans="1:21" x14ac:dyDescent="0.3">
      <c r="A912" t="s">
        <v>2784</v>
      </c>
      <c r="B912">
        <v>21</v>
      </c>
      <c r="C912" t="s">
        <v>47</v>
      </c>
      <c r="D912" t="s">
        <v>56</v>
      </c>
      <c r="E912" t="s">
        <v>70</v>
      </c>
      <c r="F912" s="1">
        <v>44079</v>
      </c>
      <c r="G912" t="s">
        <v>2785</v>
      </c>
      <c r="H912" t="s">
        <v>2786</v>
      </c>
      <c r="I912" t="s">
        <v>51</v>
      </c>
      <c r="J912">
        <v>10837.61</v>
      </c>
      <c r="K912">
        <v>261</v>
      </c>
      <c r="L912" t="s">
        <v>40</v>
      </c>
      <c r="M912" s="1">
        <v>44099</v>
      </c>
      <c r="N912" t="s">
        <v>52</v>
      </c>
      <c r="O912" t="s">
        <v>30</v>
      </c>
      <c r="P912">
        <v>20</v>
      </c>
      <c r="Q912" t="s">
        <v>31</v>
      </c>
      <c r="R912" t="s">
        <v>32</v>
      </c>
      <c r="S912">
        <v>9</v>
      </c>
      <c r="T912">
        <v>2020</v>
      </c>
      <c r="U912" t="s">
        <v>54</v>
      </c>
    </row>
    <row r="913" spans="1:21" x14ac:dyDescent="0.3">
      <c r="A913" t="s">
        <v>2787</v>
      </c>
      <c r="B913">
        <v>64</v>
      </c>
      <c r="C913" t="s">
        <v>22</v>
      </c>
      <c r="D913" t="s">
        <v>48</v>
      </c>
      <c r="E913" t="s">
        <v>115</v>
      </c>
      <c r="F913" s="1">
        <v>44814</v>
      </c>
      <c r="G913" t="s">
        <v>2788</v>
      </c>
      <c r="H913" t="s">
        <v>2789</v>
      </c>
      <c r="I913" t="s">
        <v>51</v>
      </c>
      <c r="J913">
        <v>46836.71</v>
      </c>
      <c r="K913">
        <v>234</v>
      </c>
      <c r="L913" t="s">
        <v>60</v>
      </c>
      <c r="M913" s="1">
        <v>44826</v>
      </c>
      <c r="N913" t="s">
        <v>29</v>
      </c>
      <c r="O913" t="s">
        <v>30</v>
      </c>
      <c r="P913">
        <v>12</v>
      </c>
      <c r="Q913" t="s">
        <v>43</v>
      </c>
      <c r="R913" t="s">
        <v>44</v>
      </c>
      <c r="S913">
        <v>9</v>
      </c>
      <c r="T913">
        <v>2022</v>
      </c>
      <c r="U913" t="s">
        <v>54</v>
      </c>
    </row>
    <row r="914" spans="1:21" x14ac:dyDescent="0.3">
      <c r="A914" t="s">
        <v>2790</v>
      </c>
      <c r="B914">
        <v>71</v>
      </c>
      <c r="C914" t="s">
        <v>22</v>
      </c>
      <c r="D914" t="s">
        <v>76</v>
      </c>
      <c r="E914" t="s">
        <v>57</v>
      </c>
      <c r="F914" s="1">
        <v>44312</v>
      </c>
      <c r="G914" t="s">
        <v>2791</v>
      </c>
      <c r="H914" t="s">
        <v>2792</v>
      </c>
      <c r="I914" t="s">
        <v>73</v>
      </c>
      <c r="J914">
        <v>11426.01</v>
      </c>
      <c r="K914">
        <v>169</v>
      </c>
      <c r="L914" t="s">
        <v>40</v>
      </c>
      <c r="M914" s="1">
        <v>44320</v>
      </c>
      <c r="N914" t="s">
        <v>52</v>
      </c>
      <c r="O914" t="s">
        <v>61</v>
      </c>
      <c r="P914">
        <v>8</v>
      </c>
      <c r="Q914" t="s">
        <v>53</v>
      </c>
      <c r="R914" t="s">
        <v>32</v>
      </c>
      <c r="S914">
        <v>4</v>
      </c>
      <c r="T914">
        <v>2021</v>
      </c>
      <c r="U914" t="s">
        <v>94</v>
      </c>
    </row>
    <row r="915" spans="1:21" x14ac:dyDescent="0.3">
      <c r="A915" t="s">
        <v>2793</v>
      </c>
      <c r="B915">
        <v>28</v>
      </c>
      <c r="C915" t="s">
        <v>47</v>
      </c>
      <c r="D915" t="s">
        <v>149</v>
      </c>
      <c r="E915" t="s">
        <v>57</v>
      </c>
      <c r="F915" s="1">
        <v>45311</v>
      </c>
      <c r="G915" t="s">
        <v>2794</v>
      </c>
      <c r="H915" t="s">
        <v>2795</v>
      </c>
      <c r="I915" t="s">
        <v>82</v>
      </c>
      <c r="J915">
        <v>20590.52</v>
      </c>
      <c r="K915">
        <v>105</v>
      </c>
      <c r="L915" t="s">
        <v>28</v>
      </c>
      <c r="M915" s="1">
        <v>45319</v>
      </c>
      <c r="N915" t="s">
        <v>67</v>
      </c>
      <c r="O915" t="s">
        <v>30</v>
      </c>
      <c r="P915">
        <v>8</v>
      </c>
      <c r="Q915" t="s">
        <v>31</v>
      </c>
      <c r="R915" t="s">
        <v>32</v>
      </c>
      <c r="S915">
        <v>1</v>
      </c>
      <c r="T915">
        <v>2024</v>
      </c>
      <c r="U915" t="s">
        <v>33</v>
      </c>
    </row>
    <row r="916" spans="1:21" x14ac:dyDescent="0.3">
      <c r="A916" t="s">
        <v>2796</v>
      </c>
      <c r="B916">
        <v>79</v>
      </c>
      <c r="C916" t="s">
        <v>22</v>
      </c>
      <c r="D916" t="s">
        <v>48</v>
      </c>
      <c r="E916" t="s">
        <v>96</v>
      </c>
      <c r="F916" s="1">
        <v>44260</v>
      </c>
      <c r="G916" t="s">
        <v>2797</v>
      </c>
      <c r="H916" t="s">
        <v>2798</v>
      </c>
      <c r="I916" t="s">
        <v>51</v>
      </c>
      <c r="J916">
        <v>28100.09</v>
      </c>
      <c r="K916">
        <v>349</v>
      </c>
      <c r="L916" t="s">
        <v>40</v>
      </c>
      <c r="M916" s="1">
        <v>44270</v>
      </c>
      <c r="N916" t="s">
        <v>99</v>
      </c>
      <c r="O916" t="s">
        <v>30</v>
      </c>
      <c r="P916">
        <v>10</v>
      </c>
      <c r="Q916" t="s">
        <v>53</v>
      </c>
      <c r="R916" t="s">
        <v>32</v>
      </c>
      <c r="S916">
        <v>3</v>
      </c>
      <c r="T916">
        <v>2021</v>
      </c>
      <c r="U916" t="s">
        <v>122</v>
      </c>
    </row>
    <row r="917" spans="1:21" x14ac:dyDescent="0.3">
      <c r="A917" t="s">
        <v>2799</v>
      </c>
      <c r="B917">
        <v>40</v>
      </c>
      <c r="C917" t="s">
        <v>22</v>
      </c>
      <c r="D917" t="s">
        <v>56</v>
      </c>
      <c r="E917" t="s">
        <v>115</v>
      </c>
      <c r="F917" s="1">
        <v>44192</v>
      </c>
      <c r="G917" t="s">
        <v>2800</v>
      </c>
      <c r="H917" t="s">
        <v>1769</v>
      </c>
      <c r="I917" t="s">
        <v>82</v>
      </c>
      <c r="J917">
        <v>33188.93</v>
      </c>
      <c r="K917">
        <v>107</v>
      </c>
      <c r="L917" t="s">
        <v>28</v>
      </c>
      <c r="M917" s="1">
        <v>44219</v>
      </c>
      <c r="N917" t="s">
        <v>67</v>
      </c>
      <c r="O917" t="s">
        <v>61</v>
      </c>
      <c r="P917">
        <v>27</v>
      </c>
      <c r="Q917" t="s">
        <v>68</v>
      </c>
      <c r="R917" t="s">
        <v>44</v>
      </c>
      <c r="S917">
        <v>12</v>
      </c>
      <c r="T917">
        <v>2020</v>
      </c>
      <c r="U917" t="s">
        <v>74</v>
      </c>
    </row>
    <row r="918" spans="1:21" x14ac:dyDescent="0.3">
      <c r="A918" t="s">
        <v>2801</v>
      </c>
      <c r="B918">
        <v>50</v>
      </c>
      <c r="C918" t="s">
        <v>47</v>
      </c>
      <c r="D918" t="s">
        <v>64</v>
      </c>
      <c r="E918" t="s">
        <v>70</v>
      </c>
      <c r="F918" s="1">
        <v>44461</v>
      </c>
      <c r="G918" t="s">
        <v>2802</v>
      </c>
      <c r="H918" t="s">
        <v>2803</v>
      </c>
      <c r="I918" t="s">
        <v>73</v>
      </c>
      <c r="J918">
        <v>47130.03</v>
      </c>
      <c r="K918">
        <v>311</v>
      </c>
      <c r="L918" t="s">
        <v>28</v>
      </c>
      <c r="M918" s="1">
        <v>44484</v>
      </c>
      <c r="N918" t="s">
        <v>99</v>
      </c>
      <c r="O918" t="s">
        <v>61</v>
      </c>
      <c r="P918">
        <v>23</v>
      </c>
      <c r="Q918" t="s">
        <v>68</v>
      </c>
      <c r="R918" t="s">
        <v>44</v>
      </c>
      <c r="S918">
        <v>9</v>
      </c>
      <c r="T918">
        <v>2021</v>
      </c>
      <c r="U918" t="s">
        <v>54</v>
      </c>
    </row>
    <row r="919" spans="1:21" x14ac:dyDescent="0.3">
      <c r="A919" t="s">
        <v>2804</v>
      </c>
      <c r="B919">
        <v>64</v>
      </c>
      <c r="C919" t="s">
        <v>47</v>
      </c>
      <c r="D919" t="s">
        <v>23</v>
      </c>
      <c r="E919" t="s">
        <v>24</v>
      </c>
      <c r="F919" s="1">
        <v>45047</v>
      </c>
      <c r="G919" t="s">
        <v>2805</v>
      </c>
      <c r="H919" t="s">
        <v>2806</v>
      </c>
      <c r="I919" t="s">
        <v>82</v>
      </c>
      <c r="J919">
        <v>20361.87</v>
      </c>
      <c r="K919">
        <v>366</v>
      </c>
      <c r="L919" t="s">
        <v>28</v>
      </c>
      <c r="M919" s="1">
        <v>45077</v>
      </c>
      <c r="N919" t="s">
        <v>99</v>
      </c>
      <c r="O919" t="s">
        <v>61</v>
      </c>
      <c r="P919">
        <v>30</v>
      </c>
      <c r="Q919" t="s">
        <v>43</v>
      </c>
      <c r="R919" t="s">
        <v>32</v>
      </c>
      <c r="S919">
        <v>5</v>
      </c>
      <c r="T919">
        <v>2023</v>
      </c>
      <c r="U919" t="s">
        <v>90</v>
      </c>
    </row>
    <row r="920" spans="1:21" x14ac:dyDescent="0.3">
      <c r="A920" t="s">
        <v>2807</v>
      </c>
      <c r="B920">
        <v>81</v>
      </c>
      <c r="C920" t="s">
        <v>22</v>
      </c>
      <c r="D920" t="s">
        <v>56</v>
      </c>
      <c r="E920" t="s">
        <v>36</v>
      </c>
      <c r="F920" s="1">
        <v>43597</v>
      </c>
      <c r="G920" t="s">
        <v>2808</v>
      </c>
      <c r="H920" t="s">
        <v>2809</v>
      </c>
      <c r="I920" t="s">
        <v>51</v>
      </c>
      <c r="J920">
        <v>11229.76</v>
      </c>
      <c r="K920">
        <v>425</v>
      </c>
      <c r="L920" t="s">
        <v>40</v>
      </c>
      <c r="M920" s="1">
        <v>43608</v>
      </c>
      <c r="N920" t="s">
        <v>67</v>
      </c>
      <c r="O920" t="s">
        <v>61</v>
      </c>
      <c r="P920">
        <v>11</v>
      </c>
      <c r="Q920" t="s">
        <v>53</v>
      </c>
      <c r="R920" t="s">
        <v>32</v>
      </c>
      <c r="S920">
        <v>5</v>
      </c>
      <c r="T920">
        <v>2019</v>
      </c>
      <c r="U920" t="s">
        <v>90</v>
      </c>
    </row>
    <row r="921" spans="1:21" x14ac:dyDescent="0.3">
      <c r="A921" t="s">
        <v>2810</v>
      </c>
      <c r="B921">
        <v>52</v>
      </c>
      <c r="C921" t="s">
        <v>47</v>
      </c>
      <c r="D921" t="s">
        <v>56</v>
      </c>
      <c r="E921" t="s">
        <v>96</v>
      </c>
      <c r="F921" s="1">
        <v>44249</v>
      </c>
      <c r="G921" t="s">
        <v>2811</v>
      </c>
      <c r="H921" t="s">
        <v>2812</v>
      </c>
      <c r="I921" t="s">
        <v>39</v>
      </c>
      <c r="J921">
        <v>6969.09</v>
      </c>
      <c r="K921">
        <v>379</v>
      </c>
      <c r="L921" t="s">
        <v>40</v>
      </c>
      <c r="M921" s="1">
        <v>44270</v>
      </c>
      <c r="N921" t="s">
        <v>67</v>
      </c>
      <c r="O921" t="s">
        <v>30</v>
      </c>
      <c r="P921">
        <v>21</v>
      </c>
      <c r="Q921" t="s">
        <v>68</v>
      </c>
      <c r="R921" t="s">
        <v>100</v>
      </c>
      <c r="S921">
        <v>2</v>
      </c>
      <c r="T921">
        <v>2021</v>
      </c>
      <c r="U921" t="s">
        <v>278</v>
      </c>
    </row>
    <row r="922" spans="1:21" x14ac:dyDescent="0.3">
      <c r="A922" t="s">
        <v>2813</v>
      </c>
      <c r="B922">
        <v>76</v>
      </c>
      <c r="C922" t="s">
        <v>22</v>
      </c>
      <c r="D922" t="s">
        <v>127</v>
      </c>
      <c r="E922" t="s">
        <v>36</v>
      </c>
      <c r="F922" s="1">
        <v>44630</v>
      </c>
      <c r="G922" t="s">
        <v>2814</v>
      </c>
      <c r="H922" t="s">
        <v>2815</v>
      </c>
      <c r="I922" t="s">
        <v>27</v>
      </c>
      <c r="J922">
        <v>31405.58</v>
      </c>
      <c r="K922">
        <v>103</v>
      </c>
      <c r="L922" t="s">
        <v>28</v>
      </c>
      <c r="M922" s="1">
        <v>44638</v>
      </c>
      <c r="N922" t="s">
        <v>52</v>
      </c>
      <c r="O922" t="s">
        <v>42</v>
      </c>
      <c r="P922">
        <v>8</v>
      </c>
      <c r="Q922" t="s">
        <v>53</v>
      </c>
      <c r="R922" t="s">
        <v>44</v>
      </c>
      <c r="S922">
        <v>3</v>
      </c>
      <c r="T922">
        <v>2022</v>
      </c>
      <c r="U922" t="s">
        <v>122</v>
      </c>
    </row>
    <row r="923" spans="1:21" x14ac:dyDescent="0.3">
      <c r="A923" t="s">
        <v>2816</v>
      </c>
      <c r="B923">
        <v>52</v>
      </c>
      <c r="C923" t="s">
        <v>22</v>
      </c>
      <c r="D923" t="s">
        <v>127</v>
      </c>
      <c r="E923" t="s">
        <v>36</v>
      </c>
      <c r="F923" s="1">
        <v>44857</v>
      </c>
      <c r="G923" t="s">
        <v>2817</v>
      </c>
      <c r="H923" t="s">
        <v>2818</v>
      </c>
      <c r="I923" t="s">
        <v>82</v>
      </c>
      <c r="J923">
        <v>22976.91</v>
      </c>
      <c r="K923">
        <v>309</v>
      </c>
      <c r="L923" t="s">
        <v>40</v>
      </c>
      <c r="M923" s="1">
        <v>44868</v>
      </c>
      <c r="N923" t="s">
        <v>52</v>
      </c>
      <c r="O923" t="s">
        <v>61</v>
      </c>
      <c r="P923">
        <v>11</v>
      </c>
      <c r="Q923" t="s">
        <v>68</v>
      </c>
      <c r="R923" t="s">
        <v>32</v>
      </c>
      <c r="S923">
        <v>10</v>
      </c>
      <c r="T923">
        <v>2022</v>
      </c>
      <c r="U923" t="s">
        <v>110</v>
      </c>
    </row>
    <row r="924" spans="1:21" x14ac:dyDescent="0.3">
      <c r="A924" t="s">
        <v>2819</v>
      </c>
      <c r="B924">
        <v>77</v>
      </c>
      <c r="C924" t="s">
        <v>47</v>
      </c>
      <c r="D924" t="s">
        <v>149</v>
      </c>
      <c r="E924" t="s">
        <v>24</v>
      </c>
      <c r="F924" s="1">
        <v>45364</v>
      </c>
      <c r="G924" t="s">
        <v>2820</v>
      </c>
      <c r="H924" t="s">
        <v>2821</v>
      </c>
      <c r="I924" t="s">
        <v>51</v>
      </c>
      <c r="J924">
        <v>32136.51</v>
      </c>
      <c r="K924">
        <v>384</v>
      </c>
      <c r="L924" t="s">
        <v>40</v>
      </c>
      <c r="M924" s="1">
        <v>45380</v>
      </c>
      <c r="N924" t="s">
        <v>67</v>
      </c>
      <c r="O924" t="s">
        <v>42</v>
      </c>
      <c r="P924">
        <v>16</v>
      </c>
      <c r="Q924" t="s">
        <v>53</v>
      </c>
      <c r="R924" t="s">
        <v>44</v>
      </c>
      <c r="S924">
        <v>3</v>
      </c>
      <c r="T924">
        <v>2024</v>
      </c>
      <c r="U924" t="s">
        <v>122</v>
      </c>
    </row>
    <row r="925" spans="1:21" x14ac:dyDescent="0.3">
      <c r="A925" t="s">
        <v>2822</v>
      </c>
      <c r="B925">
        <v>81</v>
      </c>
      <c r="C925" t="s">
        <v>22</v>
      </c>
      <c r="D925" t="s">
        <v>64</v>
      </c>
      <c r="E925" t="s">
        <v>96</v>
      </c>
      <c r="F925" s="1">
        <v>43683</v>
      </c>
      <c r="G925" t="s">
        <v>2823</v>
      </c>
      <c r="H925" t="s">
        <v>2824</v>
      </c>
      <c r="I925" t="s">
        <v>73</v>
      </c>
      <c r="J925">
        <v>39313.89</v>
      </c>
      <c r="K925">
        <v>448</v>
      </c>
      <c r="L925" t="s">
        <v>60</v>
      </c>
      <c r="M925" s="1">
        <v>43693</v>
      </c>
      <c r="N925" t="s">
        <v>99</v>
      </c>
      <c r="O925" t="s">
        <v>30</v>
      </c>
      <c r="P925">
        <v>10</v>
      </c>
      <c r="Q925" t="s">
        <v>53</v>
      </c>
      <c r="R925" t="s">
        <v>44</v>
      </c>
      <c r="S925">
        <v>8</v>
      </c>
      <c r="T925">
        <v>2019</v>
      </c>
      <c r="U925" t="s">
        <v>45</v>
      </c>
    </row>
    <row r="926" spans="1:21" x14ac:dyDescent="0.3">
      <c r="A926" t="s">
        <v>2825</v>
      </c>
      <c r="B926">
        <v>36</v>
      </c>
      <c r="C926" t="s">
        <v>22</v>
      </c>
      <c r="D926" t="s">
        <v>23</v>
      </c>
      <c r="E926" t="s">
        <v>36</v>
      </c>
      <c r="F926" s="1">
        <v>44089</v>
      </c>
      <c r="G926" t="s">
        <v>2826</v>
      </c>
      <c r="H926" t="s">
        <v>2827</v>
      </c>
      <c r="I926" t="s">
        <v>82</v>
      </c>
      <c r="J926">
        <v>5624.29</v>
      </c>
      <c r="K926">
        <v>380</v>
      </c>
      <c r="L926" t="s">
        <v>40</v>
      </c>
      <c r="M926" s="1">
        <v>44100</v>
      </c>
      <c r="N926" t="s">
        <v>29</v>
      </c>
      <c r="O926" t="s">
        <v>42</v>
      </c>
      <c r="P926">
        <v>11</v>
      </c>
      <c r="Q926" t="s">
        <v>68</v>
      </c>
      <c r="R926" t="s">
        <v>100</v>
      </c>
      <c r="S926">
        <v>9</v>
      </c>
      <c r="T926">
        <v>2020</v>
      </c>
      <c r="U926" t="s">
        <v>54</v>
      </c>
    </row>
    <row r="927" spans="1:21" x14ac:dyDescent="0.3">
      <c r="A927" t="s">
        <v>2828</v>
      </c>
      <c r="B927">
        <v>72</v>
      </c>
      <c r="C927" t="s">
        <v>47</v>
      </c>
      <c r="D927" t="s">
        <v>64</v>
      </c>
      <c r="E927" t="s">
        <v>24</v>
      </c>
      <c r="F927" s="1">
        <v>43769</v>
      </c>
      <c r="G927" t="s">
        <v>2829</v>
      </c>
      <c r="H927" t="s">
        <v>2830</v>
      </c>
      <c r="I927" t="s">
        <v>27</v>
      </c>
      <c r="J927">
        <v>5823.05</v>
      </c>
      <c r="K927">
        <v>219</v>
      </c>
      <c r="L927" t="s">
        <v>60</v>
      </c>
      <c r="M927" s="1">
        <v>43772</v>
      </c>
      <c r="N927" t="s">
        <v>99</v>
      </c>
      <c r="O927" t="s">
        <v>42</v>
      </c>
      <c r="P927">
        <v>3</v>
      </c>
      <c r="Q927" t="s">
        <v>53</v>
      </c>
      <c r="R927" t="s">
        <v>100</v>
      </c>
      <c r="S927">
        <v>10</v>
      </c>
      <c r="T927">
        <v>2019</v>
      </c>
      <c r="U927" t="s">
        <v>110</v>
      </c>
    </row>
    <row r="928" spans="1:21" x14ac:dyDescent="0.3">
      <c r="A928" t="s">
        <v>2831</v>
      </c>
      <c r="B928">
        <v>70</v>
      </c>
      <c r="C928" t="s">
        <v>22</v>
      </c>
      <c r="D928" t="s">
        <v>149</v>
      </c>
      <c r="E928" t="s">
        <v>57</v>
      </c>
      <c r="F928" s="1">
        <v>44081</v>
      </c>
      <c r="G928" t="s">
        <v>2832</v>
      </c>
      <c r="H928" t="s">
        <v>2833</v>
      </c>
      <c r="I928" t="s">
        <v>51</v>
      </c>
      <c r="J928">
        <v>11628.62</v>
      </c>
      <c r="K928">
        <v>332</v>
      </c>
      <c r="L928" t="s">
        <v>28</v>
      </c>
      <c r="M928" s="1">
        <v>44093</v>
      </c>
      <c r="N928" t="s">
        <v>99</v>
      </c>
      <c r="O928" t="s">
        <v>42</v>
      </c>
      <c r="P928">
        <v>12</v>
      </c>
      <c r="Q928" t="s">
        <v>43</v>
      </c>
      <c r="R928" t="s">
        <v>32</v>
      </c>
      <c r="S928">
        <v>9</v>
      </c>
      <c r="T928">
        <v>2020</v>
      </c>
      <c r="U928" t="s">
        <v>54</v>
      </c>
    </row>
    <row r="929" spans="1:21" x14ac:dyDescent="0.3">
      <c r="A929" t="s">
        <v>2834</v>
      </c>
      <c r="B929">
        <v>44</v>
      </c>
      <c r="C929" t="s">
        <v>47</v>
      </c>
      <c r="D929" t="s">
        <v>149</v>
      </c>
      <c r="E929" t="s">
        <v>115</v>
      </c>
      <c r="F929" s="1">
        <v>44435</v>
      </c>
      <c r="G929" t="s">
        <v>2835</v>
      </c>
      <c r="H929" t="s">
        <v>2836</v>
      </c>
      <c r="I929" t="s">
        <v>39</v>
      </c>
      <c r="J929">
        <v>8104.67</v>
      </c>
      <c r="K929">
        <v>174</v>
      </c>
      <c r="L929" t="s">
        <v>60</v>
      </c>
      <c r="M929" s="1">
        <v>44463</v>
      </c>
      <c r="N929" t="s">
        <v>99</v>
      </c>
      <c r="O929" t="s">
        <v>42</v>
      </c>
      <c r="P929">
        <v>28</v>
      </c>
      <c r="Q929" t="s">
        <v>68</v>
      </c>
      <c r="R929" t="s">
        <v>100</v>
      </c>
      <c r="S929">
        <v>8</v>
      </c>
      <c r="T929">
        <v>2021</v>
      </c>
      <c r="U929" t="s">
        <v>45</v>
      </c>
    </row>
    <row r="930" spans="1:21" x14ac:dyDescent="0.3">
      <c r="A930" t="s">
        <v>2837</v>
      </c>
      <c r="B930">
        <v>81</v>
      </c>
      <c r="C930" t="s">
        <v>47</v>
      </c>
      <c r="D930" t="s">
        <v>48</v>
      </c>
      <c r="E930" t="s">
        <v>115</v>
      </c>
      <c r="F930" s="1">
        <v>43820</v>
      </c>
      <c r="G930" t="s">
        <v>2838</v>
      </c>
      <c r="H930" t="s">
        <v>2839</v>
      </c>
      <c r="I930" t="s">
        <v>82</v>
      </c>
      <c r="J930">
        <v>12093.09</v>
      </c>
      <c r="K930">
        <v>246</v>
      </c>
      <c r="L930" t="s">
        <v>40</v>
      </c>
      <c r="M930" s="1">
        <v>43845</v>
      </c>
      <c r="N930" t="s">
        <v>52</v>
      </c>
      <c r="O930" t="s">
        <v>42</v>
      </c>
      <c r="P930">
        <v>25</v>
      </c>
      <c r="Q930" t="s">
        <v>53</v>
      </c>
      <c r="R930" t="s">
        <v>32</v>
      </c>
      <c r="S930">
        <v>12</v>
      </c>
      <c r="T930">
        <v>2019</v>
      </c>
      <c r="U930" t="s">
        <v>74</v>
      </c>
    </row>
    <row r="931" spans="1:21" x14ac:dyDescent="0.3">
      <c r="A931" t="s">
        <v>2840</v>
      </c>
      <c r="B931">
        <v>41</v>
      </c>
      <c r="C931" t="s">
        <v>22</v>
      </c>
      <c r="D931" t="s">
        <v>23</v>
      </c>
      <c r="E931" t="s">
        <v>115</v>
      </c>
      <c r="F931" s="1">
        <v>43731</v>
      </c>
      <c r="G931" t="s">
        <v>2841</v>
      </c>
      <c r="H931" t="s">
        <v>2842</v>
      </c>
      <c r="I931" t="s">
        <v>39</v>
      </c>
      <c r="J931">
        <v>29465.82</v>
      </c>
      <c r="K931">
        <v>271</v>
      </c>
      <c r="L931" t="s">
        <v>28</v>
      </c>
      <c r="M931" s="1">
        <v>43734</v>
      </c>
      <c r="N931" t="s">
        <v>99</v>
      </c>
      <c r="O931" t="s">
        <v>61</v>
      </c>
      <c r="P931">
        <v>3</v>
      </c>
      <c r="Q931" t="s">
        <v>68</v>
      </c>
      <c r="R931" t="s">
        <v>32</v>
      </c>
      <c r="S931">
        <v>9</v>
      </c>
      <c r="T931">
        <v>2019</v>
      </c>
      <c r="U931" t="s">
        <v>54</v>
      </c>
    </row>
    <row r="932" spans="1:21" x14ac:dyDescent="0.3">
      <c r="A932" t="s">
        <v>2843</v>
      </c>
      <c r="B932">
        <v>32</v>
      </c>
      <c r="C932" t="s">
        <v>47</v>
      </c>
      <c r="D932" t="s">
        <v>35</v>
      </c>
      <c r="E932" t="s">
        <v>115</v>
      </c>
      <c r="F932" s="1">
        <v>44702</v>
      </c>
      <c r="G932" t="s">
        <v>2844</v>
      </c>
      <c r="H932" t="s">
        <v>2845</v>
      </c>
      <c r="I932" t="s">
        <v>82</v>
      </c>
      <c r="J932">
        <v>22545.93</v>
      </c>
      <c r="K932">
        <v>294</v>
      </c>
      <c r="L932" t="s">
        <v>40</v>
      </c>
      <c r="M932" s="1">
        <v>44706</v>
      </c>
      <c r="N932" t="s">
        <v>67</v>
      </c>
      <c r="O932" t="s">
        <v>42</v>
      </c>
      <c r="P932">
        <v>4</v>
      </c>
      <c r="Q932" t="s">
        <v>31</v>
      </c>
      <c r="R932" t="s">
        <v>32</v>
      </c>
      <c r="S932">
        <v>5</v>
      </c>
      <c r="T932">
        <v>2022</v>
      </c>
      <c r="U932" t="s">
        <v>90</v>
      </c>
    </row>
    <row r="933" spans="1:21" x14ac:dyDescent="0.3">
      <c r="A933" t="s">
        <v>2846</v>
      </c>
      <c r="B933">
        <v>58</v>
      </c>
      <c r="C933" t="s">
        <v>47</v>
      </c>
      <c r="D933" t="s">
        <v>23</v>
      </c>
      <c r="E933" t="s">
        <v>36</v>
      </c>
      <c r="F933" s="1">
        <v>43828</v>
      </c>
      <c r="G933" t="s">
        <v>2847</v>
      </c>
      <c r="H933" t="s">
        <v>2848</v>
      </c>
      <c r="I933" t="s">
        <v>39</v>
      </c>
      <c r="J933">
        <v>2641.02</v>
      </c>
      <c r="K933">
        <v>234</v>
      </c>
      <c r="L933" t="s">
        <v>60</v>
      </c>
      <c r="M933" s="1">
        <v>43834</v>
      </c>
      <c r="N933" t="s">
        <v>52</v>
      </c>
      <c r="O933" t="s">
        <v>30</v>
      </c>
      <c r="P933">
        <v>6</v>
      </c>
      <c r="Q933" t="s">
        <v>43</v>
      </c>
      <c r="R933" t="s">
        <v>100</v>
      </c>
      <c r="S933">
        <v>12</v>
      </c>
      <c r="T933">
        <v>2019</v>
      </c>
      <c r="U933" t="s">
        <v>74</v>
      </c>
    </row>
    <row r="934" spans="1:21" x14ac:dyDescent="0.3">
      <c r="A934" t="s">
        <v>2849</v>
      </c>
      <c r="B934">
        <v>33</v>
      </c>
      <c r="C934" t="s">
        <v>22</v>
      </c>
      <c r="D934" t="s">
        <v>48</v>
      </c>
      <c r="E934" t="s">
        <v>115</v>
      </c>
      <c r="F934" s="1">
        <v>43924</v>
      </c>
      <c r="G934" t="s">
        <v>2850</v>
      </c>
      <c r="H934" t="s">
        <v>2851</v>
      </c>
      <c r="I934" t="s">
        <v>82</v>
      </c>
      <c r="J934">
        <v>16527.259999999998</v>
      </c>
      <c r="K934">
        <v>395</v>
      </c>
      <c r="L934" t="s">
        <v>60</v>
      </c>
      <c r="M934" s="1">
        <v>43925</v>
      </c>
      <c r="N934" t="s">
        <v>67</v>
      </c>
      <c r="O934" t="s">
        <v>42</v>
      </c>
      <c r="P934">
        <v>1</v>
      </c>
      <c r="Q934" t="s">
        <v>31</v>
      </c>
      <c r="R934" t="s">
        <v>32</v>
      </c>
      <c r="S934">
        <v>4</v>
      </c>
      <c r="T934">
        <v>2020</v>
      </c>
      <c r="U934" t="s">
        <v>94</v>
      </c>
    </row>
    <row r="935" spans="1:21" x14ac:dyDescent="0.3">
      <c r="A935" t="s">
        <v>2852</v>
      </c>
      <c r="B935">
        <v>80</v>
      </c>
      <c r="C935" t="s">
        <v>22</v>
      </c>
      <c r="D935" t="s">
        <v>35</v>
      </c>
      <c r="E935" t="s">
        <v>24</v>
      </c>
      <c r="F935" s="1">
        <v>44910</v>
      </c>
      <c r="G935" t="s">
        <v>2853</v>
      </c>
      <c r="H935" t="s">
        <v>2854</v>
      </c>
      <c r="I935" t="s">
        <v>39</v>
      </c>
      <c r="J935">
        <v>13624.83</v>
      </c>
      <c r="K935">
        <v>363</v>
      </c>
      <c r="L935" t="s">
        <v>28</v>
      </c>
      <c r="M935" s="1">
        <v>44923</v>
      </c>
      <c r="N935" t="s">
        <v>29</v>
      </c>
      <c r="O935" t="s">
        <v>42</v>
      </c>
      <c r="P935">
        <v>13</v>
      </c>
      <c r="Q935" t="s">
        <v>53</v>
      </c>
      <c r="R935" t="s">
        <v>32</v>
      </c>
      <c r="S935">
        <v>12</v>
      </c>
      <c r="T935">
        <v>2022</v>
      </c>
      <c r="U935" t="s">
        <v>74</v>
      </c>
    </row>
    <row r="936" spans="1:21" x14ac:dyDescent="0.3">
      <c r="A936" t="s">
        <v>2855</v>
      </c>
      <c r="B936">
        <v>67</v>
      </c>
      <c r="C936" t="s">
        <v>22</v>
      </c>
      <c r="D936" t="s">
        <v>149</v>
      </c>
      <c r="E936" t="s">
        <v>36</v>
      </c>
      <c r="F936" s="1">
        <v>44050</v>
      </c>
      <c r="G936" t="s">
        <v>2856</v>
      </c>
      <c r="H936" t="s">
        <v>2857</v>
      </c>
      <c r="I936" t="s">
        <v>51</v>
      </c>
      <c r="J936">
        <v>39570.07</v>
      </c>
      <c r="K936">
        <v>161</v>
      </c>
      <c r="L936" t="s">
        <v>28</v>
      </c>
      <c r="M936" s="1">
        <v>44052</v>
      </c>
      <c r="N936" t="s">
        <v>52</v>
      </c>
      <c r="O936" t="s">
        <v>42</v>
      </c>
      <c r="P936">
        <v>2</v>
      </c>
      <c r="Q936" t="s">
        <v>43</v>
      </c>
      <c r="R936" t="s">
        <v>44</v>
      </c>
      <c r="S936">
        <v>8</v>
      </c>
      <c r="T936">
        <v>2020</v>
      </c>
      <c r="U936" t="s">
        <v>45</v>
      </c>
    </row>
    <row r="937" spans="1:21" x14ac:dyDescent="0.3">
      <c r="A937" t="s">
        <v>2858</v>
      </c>
      <c r="B937">
        <v>39</v>
      </c>
      <c r="C937" t="s">
        <v>22</v>
      </c>
      <c r="D937" t="s">
        <v>48</v>
      </c>
      <c r="E937" t="s">
        <v>57</v>
      </c>
      <c r="F937" s="1">
        <v>44639</v>
      </c>
      <c r="G937" t="s">
        <v>2859</v>
      </c>
      <c r="H937" t="s">
        <v>2860</v>
      </c>
      <c r="I937" t="s">
        <v>51</v>
      </c>
      <c r="J937">
        <v>13256.41</v>
      </c>
      <c r="K937">
        <v>146</v>
      </c>
      <c r="L937" t="s">
        <v>28</v>
      </c>
      <c r="M937" s="1">
        <v>44640</v>
      </c>
      <c r="N937" t="s">
        <v>29</v>
      </c>
      <c r="O937" t="s">
        <v>30</v>
      </c>
      <c r="P937">
        <v>1</v>
      </c>
      <c r="Q937" t="s">
        <v>68</v>
      </c>
      <c r="R937" t="s">
        <v>32</v>
      </c>
      <c r="S937">
        <v>3</v>
      </c>
      <c r="T937">
        <v>2022</v>
      </c>
      <c r="U937" t="s">
        <v>122</v>
      </c>
    </row>
    <row r="938" spans="1:21" x14ac:dyDescent="0.3">
      <c r="A938" t="s">
        <v>2861</v>
      </c>
      <c r="B938">
        <v>52</v>
      </c>
      <c r="C938" t="s">
        <v>22</v>
      </c>
      <c r="D938" t="s">
        <v>35</v>
      </c>
      <c r="E938" t="s">
        <v>115</v>
      </c>
      <c r="F938" s="1">
        <v>45361</v>
      </c>
      <c r="G938" t="s">
        <v>2862</v>
      </c>
      <c r="H938" t="s">
        <v>2863</v>
      </c>
      <c r="I938" t="s">
        <v>39</v>
      </c>
      <c r="J938">
        <v>32633.200000000001</v>
      </c>
      <c r="K938">
        <v>484</v>
      </c>
      <c r="L938" t="s">
        <v>40</v>
      </c>
      <c r="M938" s="1">
        <v>45377</v>
      </c>
      <c r="N938" t="s">
        <v>52</v>
      </c>
      <c r="O938" t="s">
        <v>30</v>
      </c>
      <c r="P938">
        <v>16</v>
      </c>
      <c r="Q938" t="s">
        <v>68</v>
      </c>
      <c r="R938" t="s">
        <v>44</v>
      </c>
      <c r="S938">
        <v>3</v>
      </c>
      <c r="T938">
        <v>2024</v>
      </c>
      <c r="U938" t="s">
        <v>122</v>
      </c>
    </row>
    <row r="939" spans="1:21" x14ac:dyDescent="0.3">
      <c r="A939" t="s">
        <v>2864</v>
      </c>
      <c r="B939">
        <v>49</v>
      </c>
      <c r="C939" t="s">
        <v>22</v>
      </c>
      <c r="D939" t="s">
        <v>76</v>
      </c>
      <c r="E939" t="s">
        <v>115</v>
      </c>
      <c r="F939" s="1">
        <v>43798</v>
      </c>
      <c r="G939" t="s">
        <v>2865</v>
      </c>
      <c r="H939" t="s">
        <v>2866</v>
      </c>
      <c r="I939" t="s">
        <v>27</v>
      </c>
      <c r="J939">
        <v>19720.04</v>
      </c>
      <c r="K939">
        <v>114</v>
      </c>
      <c r="L939" t="s">
        <v>40</v>
      </c>
      <c r="M939" s="1">
        <v>43799</v>
      </c>
      <c r="N939" t="s">
        <v>99</v>
      </c>
      <c r="O939" t="s">
        <v>30</v>
      </c>
      <c r="P939">
        <v>1</v>
      </c>
      <c r="Q939" t="s">
        <v>68</v>
      </c>
      <c r="R939" t="s">
        <v>32</v>
      </c>
      <c r="S939">
        <v>11</v>
      </c>
      <c r="T939">
        <v>2019</v>
      </c>
      <c r="U939" t="s">
        <v>62</v>
      </c>
    </row>
    <row r="940" spans="1:21" x14ac:dyDescent="0.3">
      <c r="A940" t="s">
        <v>2867</v>
      </c>
      <c r="B940">
        <v>41</v>
      </c>
      <c r="C940" t="s">
        <v>22</v>
      </c>
      <c r="D940" t="s">
        <v>23</v>
      </c>
      <c r="E940" t="s">
        <v>96</v>
      </c>
      <c r="F940" s="1">
        <v>43663</v>
      </c>
      <c r="G940" t="s">
        <v>2868</v>
      </c>
      <c r="H940" t="s">
        <v>2869</v>
      </c>
      <c r="I940" t="s">
        <v>27</v>
      </c>
      <c r="J940">
        <v>46421.26</v>
      </c>
      <c r="K940">
        <v>124</v>
      </c>
      <c r="L940" t="s">
        <v>40</v>
      </c>
      <c r="M940" s="1">
        <v>43689</v>
      </c>
      <c r="N940" t="s">
        <v>29</v>
      </c>
      <c r="O940" t="s">
        <v>61</v>
      </c>
      <c r="P940">
        <v>26</v>
      </c>
      <c r="Q940" t="s">
        <v>68</v>
      </c>
      <c r="R940" t="s">
        <v>44</v>
      </c>
      <c r="S940">
        <v>7</v>
      </c>
      <c r="T940">
        <v>2019</v>
      </c>
      <c r="U940" t="s">
        <v>86</v>
      </c>
    </row>
    <row r="941" spans="1:21" x14ac:dyDescent="0.3">
      <c r="A941" t="s">
        <v>2870</v>
      </c>
      <c r="B941">
        <v>81</v>
      </c>
      <c r="C941" t="s">
        <v>47</v>
      </c>
      <c r="D941" t="s">
        <v>149</v>
      </c>
      <c r="E941" t="s">
        <v>96</v>
      </c>
      <c r="F941" s="1">
        <v>43978</v>
      </c>
      <c r="G941" t="s">
        <v>2871</v>
      </c>
      <c r="H941" t="s">
        <v>2872</v>
      </c>
      <c r="I941" t="s">
        <v>27</v>
      </c>
      <c r="J941">
        <v>10767.38</v>
      </c>
      <c r="K941">
        <v>126</v>
      </c>
      <c r="L941" t="s">
        <v>60</v>
      </c>
      <c r="M941" s="1">
        <v>43994</v>
      </c>
      <c r="N941" t="s">
        <v>52</v>
      </c>
      <c r="O941" t="s">
        <v>30</v>
      </c>
      <c r="P941">
        <v>16</v>
      </c>
      <c r="Q941" t="s">
        <v>53</v>
      </c>
      <c r="R941" t="s">
        <v>32</v>
      </c>
      <c r="S941">
        <v>5</v>
      </c>
      <c r="T941">
        <v>2020</v>
      </c>
      <c r="U941" t="s">
        <v>90</v>
      </c>
    </row>
    <row r="942" spans="1:21" x14ac:dyDescent="0.3">
      <c r="A942" t="s">
        <v>2873</v>
      </c>
      <c r="B942">
        <v>19</v>
      </c>
      <c r="C942" t="s">
        <v>47</v>
      </c>
      <c r="D942" t="s">
        <v>48</v>
      </c>
      <c r="E942" t="s">
        <v>96</v>
      </c>
      <c r="F942" s="1">
        <v>43714</v>
      </c>
      <c r="G942" t="s">
        <v>2874</v>
      </c>
      <c r="H942" t="s">
        <v>2875</v>
      </c>
      <c r="I942" t="s">
        <v>27</v>
      </c>
      <c r="J942">
        <v>47656.52</v>
      </c>
      <c r="K942">
        <v>286</v>
      </c>
      <c r="L942" t="s">
        <v>40</v>
      </c>
      <c r="M942" s="1">
        <v>43739</v>
      </c>
      <c r="N942" t="s">
        <v>67</v>
      </c>
      <c r="O942" t="s">
        <v>42</v>
      </c>
      <c r="P942">
        <v>25</v>
      </c>
      <c r="Q942" t="s">
        <v>31</v>
      </c>
      <c r="R942" t="s">
        <v>44</v>
      </c>
      <c r="S942">
        <v>9</v>
      </c>
      <c r="T942">
        <v>2019</v>
      </c>
      <c r="U942" t="s">
        <v>54</v>
      </c>
    </row>
    <row r="943" spans="1:21" x14ac:dyDescent="0.3">
      <c r="A943" t="s">
        <v>2876</v>
      </c>
      <c r="B943">
        <v>83</v>
      </c>
      <c r="C943" t="s">
        <v>22</v>
      </c>
      <c r="D943" t="s">
        <v>64</v>
      </c>
      <c r="E943" t="s">
        <v>96</v>
      </c>
      <c r="F943" s="1">
        <v>44292</v>
      </c>
      <c r="G943" t="s">
        <v>2877</v>
      </c>
      <c r="H943" t="s">
        <v>2878</v>
      </c>
      <c r="I943" t="s">
        <v>82</v>
      </c>
      <c r="J943">
        <v>46186.16</v>
      </c>
      <c r="K943">
        <v>114</v>
      </c>
      <c r="L943" t="s">
        <v>60</v>
      </c>
      <c r="M943" s="1">
        <v>44322</v>
      </c>
      <c r="N943" t="s">
        <v>41</v>
      </c>
      <c r="O943" t="s">
        <v>61</v>
      </c>
      <c r="P943">
        <v>30</v>
      </c>
      <c r="Q943" t="s">
        <v>53</v>
      </c>
      <c r="R943" t="s">
        <v>44</v>
      </c>
      <c r="S943">
        <v>4</v>
      </c>
      <c r="T943">
        <v>2021</v>
      </c>
      <c r="U943" t="s">
        <v>94</v>
      </c>
    </row>
    <row r="944" spans="1:21" x14ac:dyDescent="0.3">
      <c r="A944" t="s">
        <v>2879</v>
      </c>
      <c r="B944">
        <v>36</v>
      </c>
      <c r="C944" t="s">
        <v>47</v>
      </c>
      <c r="D944" t="s">
        <v>56</v>
      </c>
      <c r="E944" t="s">
        <v>24</v>
      </c>
      <c r="F944" s="1">
        <v>43604</v>
      </c>
      <c r="G944" t="s">
        <v>2880</v>
      </c>
      <c r="H944" t="s">
        <v>2881</v>
      </c>
      <c r="I944" t="s">
        <v>73</v>
      </c>
      <c r="J944">
        <v>44148.54</v>
      </c>
      <c r="K944">
        <v>336</v>
      </c>
      <c r="L944" t="s">
        <v>40</v>
      </c>
      <c r="M944" s="1">
        <v>43614</v>
      </c>
      <c r="N944" t="s">
        <v>29</v>
      </c>
      <c r="O944" t="s">
        <v>61</v>
      </c>
      <c r="P944">
        <v>10</v>
      </c>
      <c r="Q944" t="s">
        <v>68</v>
      </c>
      <c r="R944" t="s">
        <v>44</v>
      </c>
      <c r="S944">
        <v>5</v>
      </c>
      <c r="T944">
        <v>2019</v>
      </c>
      <c r="U944" t="s">
        <v>90</v>
      </c>
    </row>
    <row r="945" spans="1:21" x14ac:dyDescent="0.3">
      <c r="A945" t="s">
        <v>2882</v>
      </c>
      <c r="B945">
        <v>43</v>
      </c>
      <c r="C945" t="s">
        <v>47</v>
      </c>
      <c r="D945" t="s">
        <v>48</v>
      </c>
      <c r="E945" t="s">
        <v>24</v>
      </c>
      <c r="F945" s="1">
        <v>45193</v>
      </c>
      <c r="G945" t="s">
        <v>2883</v>
      </c>
      <c r="H945" t="s">
        <v>2884</v>
      </c>
      <c r="I945" t="s">
        <v>82</v>
      </c>
      <c r="J945">
        <v>12447.27</v>
      </c>
      <c r="K945">
        <v>360</v>
      </c>
      <c r="L945" t="s">
        <v>60</v>
      </c>
      <c r="M945" s="1">
        <v>45219</v>
      </c>
      <c r="N945" t="s">
        <v>29</v>
      </c>
      <c r="O945" t="s">
        <v>61</v>
      </c>
      <c r="P945">
        <v>26</v>
      </c>
      <c r="Q945" t="s">
        <v>68</v>
      </c>
      <c r="R945" t="s">
        <v>32</v>
      </c>
      <c r="S945">
        <v>9</v>
      </c>
      <c r="T945">
        <v>2023</v>
      </c>
      <c r="U945" t="s">
        <v>54</v>
      </c>
    </row>
    <row r="946" spans="1:21" x14ac:dyDescent="0.3">
      <c r="A946" t="s">
        <v>2885</v>
      </c>
      <c r="B946">
        <v>72</v>
      </c>
      <c r="C946" t="s">
        <v>22</v>
      </c>
      <c r="D946" t="s">
        <v>76</v>
      </c>
      <c r="E946" t="s">
        <v>57</v>
      </c>
      <c r="F946" s="1">
        <v>43738</v>
      </c>
      <c r="G946" t="s">
        <v>2886</v>
      </c>
      <c r="H946" t="s">
        <v>2887</v>
      </c>
      <c r="I946" t="s">
        <v>82</v>
      </c>
      <c r="J946">
        <v>43298.43</v>
      </c>
      <c r="K946">
        <v>290</v>
      </c>
      <c r="L946" t="s">
        <v>28</v>
      </c>
      <c r="M946" s="1">
        <v>43748</v>
      </c>
      <c r="N946" t="s">
        <v>29</v>
      </c>
      <c r="O946" t="s">
        <v>61</v>
      </c>
      <c r="P946">
        <v>10</v>
      </c>
      <c r="Q946" t="s">
        <v>53</v>
      </c>
      <c r="R946" t="s">
        <v>44</v>
      </c>
      <c r="S946">
        <v>9</v>
      </c>
      <c r="T946">
        <v>2019</v>
      </c>
      <c r="U946" t="s">
        <v>54</v>
      </c>
    </row>
    <row r="947" spans="1:21" x14ac:dyDescent="0.3">
      <c r="A947" t="s">
        <v>2888</v>
      </c>
      <c r="B947">
        <v>73</v>
      </c>
      <c r="C947" t="s">
        <v>47</v>
      </c>
      <c r="D947" t="s">
        <v>35</v>
      </c>
      <c r="E947" t="s">
        <v>70</v>
      </c>
      <c r="F947" s="1">
        <v>44765</v>
      </c>
      <c r="G947" t="s">
        <v>2889</v>
      </c>
      <c r="H947" t="s">
        <v>2890</v>
      </c>
      <c r="I947" t="s">
        <v>82</v>
      </c>
      <c r="J947">
        <v>33379.550000000003</v>
      </c>
      <c r="K947">
        <v>142</v>
      </c>
      <c r="L947" t="s">
        <v>40</v>
      </c>
      <c r="M947" s="1">
        <v>44789</v>
      </c>
      <c r="N947" t="s">
        <v>41</v>
      </c>
      <c r="O947" t="s">
        <v>61</v>
      </c>
      <c r="P947">
        <v>24</v>
      </c>
      <c r="Q947" t="s">
        <v>53</v>
      </c>
      <c r="R947" t="s">
        <v>44</v>
      </c>
      <c r="S947">
        <v>7</v>
      </c>
      <c r="T947">
        <v>2022</v>
      </c>
      <c r="U947" t="s">
        <v>86</v>
      </c>
    </row>
    <row r="948" spans="1:21" x14ac:dyDescent="0.3">
      <c r="A948" t="s">
        <v>2891</v>
      </c>
      <c r="B948">
        <v>32</v>
      </c>
      <c r="C948" t="s">
        <v>22</v>
      </c>
      <c r="D948" t="s">
        <v>76</v>
      </c>
      <c r="E948" t="s">
        <v>24</v>
      </c>
      <c r="F948" s="1">
        <v>43962</v>
      </c>
      <c r="G948" t="s">
        <v>2892</v>
      </c>
      <c r="H948" t="s">
        <v>2893</v>
      </c>
      <c r="I948" t="s">
        <v>27</v>
      </c>
      <c r="J948">
        <v>37553.160000000003</v>
      </c>
      <c r="K948">
        <v>256</v>
      </c>
      <c r="L948" t="s">
        <v>40</v>
      </c>
      <c r="M948" s="1">
        <v>43988</v>
      </c>
      <c r="N948" t="s">
        <v>52</v>
      </c>
      <c r="O948" t="s">
        <v>42</v>
      </c>
      <c r="P948">
        <v>26</v>
      </c>
      <c r="Q948" t="s">
        <v>31</v>
      </c>
      <c r="R948" t="s">
        <v>44</v>
      </c>
      <c r="S948">
        <v>5</v>
      </c>
      <c r="T948">
        <v>2020</v>
      </c>
      <c r="U948" t="s">
        <v>90</v>
      </c>
    </row>
    <row r="949" spans="1:21" x14ac:dyDescent="0.3">
      <c r="A949" t="s">
        <v>2894</v>
      </c>
      <c r="B949">
        <v>39</v>
      </c>
      <c r="C949" t="s">
        <v>22</v>
      </c>
      <c r="D949" t="s">
        <v>56</v>
      </c>
      <c r="E949" t="s">
        <v>70</v>
      </c>
      <c r="F949" s="1">
        <v>43678</v>
      </c>
      <c r="G949" t="s">
        <v>2895</v>
      </c>
      <c r="H949" t="s">
        <v>2896</v>
      </c>
      <c r="I949" t="s">
        <v>51</v>
      </c>
      <c r="J949">
        <v>44931.13</v>
      </c>
      <c r="K949">
        <v>194</v>
      </c>
      <c r="L949" t="s">
        <v>60</v>
      </c>
      <c r="M949" s="1">
        <v>43685</v>
      </c>
      <c r="N949" t="s">
        <v>67</v>
      </c>
      <c r="O949" t="s">
        <v>30</v>
      </c>
      <c r="P949">
        <v>7</v>
      </c>
      <c r="Q949" t="s">
        <v>68</v>
      </c>
      <c r="R949" t="s">
        <v>44</v>
      </c>
      <c r="S949">
        <v>8</v>
      </c>
      <c r="T949">
        <v>2019</v>
      </c>
      <c r="U949" t="s">
        <v>45</v>
      </c>
    </row>
    <row r="950" spans="1:21" x14ac:dyDescent="0.3">
      <c r="A950" t="s">
        <v>2897</v>
      </c>
      <c r="B950">
        <v>72</v>
      </c>
      <c r="C950" t="s">
        <v>22</v>
      </c>
      <c r="D950" t="s">
        <v>127</v>
      </c>
      <c r="E950" t="s">
        <v>70</v>
      </c>
      <c r="F950" s="1">
        <v>43714</v>
      </c>
      <c r="G950" t="s">
        <v>2898</v>
      </c>
      <c r="H950" t="s">
        <v>2899</v>
      </c>
      <c r="I950" t="s">
        <v>39</v>
      </c>
      <c r="J950">
        <v>44595.97</v>
      </c>
      <c r="K950">
        <v>203</v>
      </c>
      <c r="L950" t="s">
        <v>28</v>
      </c>
      <c r="M950" s="1">
        <v>43723</v>
      </c>
      <c r="N950" t="s">
        <v>99</v>
      </c>
      <c r="O950" t="s">
        <v>61</v>
      </c>
      <c r="P950">
        <v>9</v>
      </c>
      <c r="Q950" t="s">
        <v>53</v>
      </c>
      <c r="R950" t="s">
        <v>44</v>
      </c>
      <c r="S950">
        <v>9</v>
      </c>
      <c r="T950">
        <v>2019</v>
      </c>
      <c r="U950" t="s">
        <v>54</v>
      </c>
    </row>
    <row r="951" spans="1:21" x14ac:dyDescent="0.3">
      <c r="A951" t="s">
        <v>2900</v>
      </c>
      <c r="B951">
        <v>24</v>
      </c>
      <c r="C951" t="s">
        <v>22</v>
      </c>
      <c r="D951" t="s">
        <v>23</v>
      </c>
      <c r="E951" t="s">
        <v>24</v>
      </c>
      <c r="F951" s="1">
        <v>44954</v>
      </c>
      <c r="G951" t="s">
        <v>2901</v>
      </c>
      <c r="H951" t="s">
        <v>2902</v>
      </c>
      <c r="I951" t="s">
        <v>82</v>
      </c>
      <c r="J951">
        <v>10243.969999999999</v>
      </c>
      <c r="K951">
        <v>383</v>
      </c>
      <c r="L951" t="s">
        <v>40</v>
      </c>
      <c r="M951" s="1">
        <v>44983</v>
      </c>
      <c r="N951" t="s">
        <v>67</v>
      </c>
      <c r="O951" t="s">
        <v>42</v>
      </c>
      <c r="P951">
        <v>29</v>
      </c>
      <c r="Q951" t="s">
        <v>31</v>
      </c>
      <c r="R951" t="s">
        <v>32</v>
      </c>
      <c r="S951">
        <v>1</v>
      </c>
      <c r="T951">
        <v>2023</v>
      </c>
      <c r="U951" t="s">
        <v>33</v>
      </c>
    </row>
    <row r="952" spans="1:21" x14ac:dyDescent="0.3">
      <c r="A952" t="s">
        <v>2903</v>
      </c>
      <c r="B952">
        <v>32</v>
      </c>
      <c r="C952" t="s">
        <v>47</v>
      </c>
      <c r="D952" t="s">
        <v>149</v>
      </c>
      <c r="E952" t="s">
        <v>36</v>
      </c>
      <c r="F952" s="1">
        <v>45180</v>
      </c>
      <c r="G952" t="s">
        <v>2904</v>
      </c>
      <c r="H952" t="s">
        <v>2905</v>
      </c>
      <c r="I952" t="s">
        <v>27</v>
      </c>
      <c r="J952">
        <v>8762.5</v>
      </c>
      <c r="K952">
        <v>454</v>
      </c>
      <c r="L952" t="s">
        <v>40</v>
      </c>
      <c r="M952" s="1">
        <v>45210</v>
      </c>
      <c r="N952" t="s">
        <v>67</v>
      </c>
      <c r="O952" t="s">
        <v>61</v>
      </c>
      <c r="P952">
        <v>30</v>
      </c>
      <c r="Q952" t="s">
        <v>31</v>
      </c>
      <c r="R952" t="s">
        <v>100</v>
      </c>
      <c r="S952">
        <v>9</v>
      </c>
      <c r="T952">
        <v>2023</v>
      </c>
      <c r="U952" t="s">
        <v>54</v>
      </c>
    </row>
    <row r="953" spans="1:21" x14ac:dyDescent="0.3">
      <c r="A953" t="s">
        <v>2906</v>
      </c>
      <c r="B953">
        <v>57</v>
      </c>
      <c r="C953" t="s">
        <v>47</v>
      </c>
      <c r="D953" t="s">
        <v>64</v>
      </c>
      <c r="E953" t="s">
        <v>70</v>
      </c>
      <c r="F953" s="1">
        <v>43901</v>
      </c>
      <c r="G953" t="s">
        <v>2907</v>
      </c>
      <c r="H953" t="s">
        <v>2908</v>
      </c>
      <c r="I953" t="s">
        <v>39</v>
      </c>
      <c r="J953">
        <v>10363.67</v>
      </c>
      <c r="K953">
        <v>384</v>
      </c>
      <c r="L953" t="s">
        <v>40</v>
      </c>
      <c r="M953" s="1">
        <v>43908</v>
      </c>
      <c r="N953" t="s">
        <v>41</v>
      </c>
      <c r="O953" t="s">
        <v>30</v>
      </c>
      <c r="P953">
        <v>7</v>
      </c>
      <c r="Q953" t="s">
        <v>43</v>
      </c>
      <c r="R953" t="s">
        <v>32</v>
      </c>
      <c r="S953">
        <v>3</v>
      </c>
      <c r="T953">
        <v>2020</v>
      </c>
      <c r="U953" t="s">
        <v>122</v>
      </c>
    </row>
    <row r="954" spans="1:21" x14ac:dyDescent="0.3">
      <c r="A954" t="s">
        <v>2909</v>
      </c>
      <c r="B954">
        <v>56</v>
      </c>
      <c r="C954" t="s">
        <v>22</v>
      </c>
      <c r="D954" t="s">
        <v>23</v>
      </c>
      <c r="E954" t="s">
        <v>70</v>
      </c>
      <c r="F954" s="1">
        <v>44262</v>
      </c>
      <c r="G954" t="s">
        <v>2910</v>
      </c>
      <c r="H954" t="s">
        <v>2911</v>
      </c>
      <c r="I954" t="s">
        <v>39</v>
      </c>
      <c r="J954">
        <v>22827.81</v>
      </c>
      <c r="K954">
        <v>124</v>
      </c>
      <c r="L954" t="s">
        <v>28</v>
      </c>
      <c r="M954" s="1">
        <v>44276</v>
      </c>
      <c r="N954" t="s">
        <v>29</v>
      </c>
      <c r="O954" t="s">
        <v>61</v>
      </c>
      <c r="P954">
        <v>14</v>
      </c>
      <c r="Q954" t="s">
        <v>43</v>
      </c>
      <c r="R954" t="s">
        <v>32</v>
      </c>
      <c r="S954">
        <v>3</v>
      </c>
      <c r="T954">
        <v>2021</v>
      </c>
      <c r="U954" t="s">
        <v>122</v>
      </c>
    </row>
    <row r="955" spans="1:21" x14ac:dyDescent="0.3">
      <c r="A955" t="s">
        <v>2912</v>
      </c>
      <c r="B955">
        <v>84</v>
      </c>
      <c r="C955" t="s">
        <v>47</v>
      </c>
      <c r="D955" t="s">
        <v>56</v>
      </c>
      <c r="E955" t="s">
        <v>70</v>
      </c>
      <c r="F955" s="1">
        <v>45385</v>
      </c>
      <c r="G955" t="s">
        <v>2913</v>
      </c>
      <c r="H955" t="s">
        <v>2914</v>
      </c>
      <c r="I955" t="s">
        <v>73</v>
      </c>
      <c r="J955">
        <v>22913.35</v>
      </c>
      <c r="K955">
        <v>238</v>
      </c>
      <c r="L955" t="s">
        <v>28</v>
      </c>
      <c r="M955" s="1">
        <v>45392</v>
      </c>
      <c r="N955" t="s">
        <v>41</v>
      </c>
      <c r="O955" t="s">
        <v>42</v>
      </c>
      <c r="P955">
        <v>7</v>
      </c>
      <c r="Q955" t="s">
        <v>53</v>
      </c>
      <c r="R955" t="s">
        <v>32</v>
      </c>
      <c r="S955">
        <v>4</v>
      </c>
      <c r="T955">
        <v>2024</v>
      </c>
      <c r="U955" t="s">
        <v>94</v>
      </c>
    </row>
    <row r="956" spans="1:21" x14ac:dyDescent="0.3">
      <c r="A956" t="s">
        <v>2915</v>
      </c>
      <c r="B956">
        <v>46</v>
      </c>
      <c r="C956" t="s">
        <v>22</v>
      </c>
      <c r="D956" t="s">
        <v>23</v>
      </c>
      <c r="E956" t="s">
        <v>24</v>
      </c>
      <c r="F956" s="1">
        <v>44920</v>
      </c>
      <c r="G956" t="s">
        <v>2916</v>
      </c>
      <c r="H956" t="s">
        <v>2917</v>
      </c>
      <c r="I956" t="s">
        <v>51</v>
      </c>
      <c r="J956">
        <v>33800.910000000003</v>
      </c>
      <c r="K956">
        <v>437</v>
      </c>
      <c r="L956" t="s">
        <v>28</v>
      </c>
      <c r="M956" s="1">
        <v>44936</v>
      </c>
      <c r="N956" t="s">
        <v>67</v>
      </c>
      <c r="O956" t="s">
        <v>61</v>
      </c>
      <c r="P956">
        <v>16</v>
      </c>
      <c r="Q956" t="s">
        <v>68</v>
      </c>
      <c r="R956" t="s">
        <v>44</v>
      </c>
      <c r="S956">
        <v>12</v>
      </c>
      <c r="T956">
        <v>2022</v>
      </c>
      <c r="U956" t="s">
        <v>74</v>
      </c>
    </row>
    <row r="957" spans="1:21" x14ac:dyDescent="0.3">
      <c r="A957" t="s">
        <v>2918</v>
      </c>
      <c r="B957">
        <v>55</v>
      </c>
      <c r="C957" t="s">
        <v>22</v>
      </c>
      <c r="D957" t="s">
        <v>64</v>
      </c>
      <c r="E957" t="s">
        <v>36</v>
      </c>
      <c r="F957" s="1">
        <v>43922</v>
      </c>
      <c r="G957" t="s">
        <v>2919</v>
      </c>
      <c r="H957" t="s">
        <v>2920</v>
      </c>
      <c r="I957" t="s">
        <v>51</v>
      </c>
      <c r="J957">
        <v>23713.919999999998</v>
      </c>
      <c r="K957">
        <v>187</v>
      </c>
      <c r="L957" t="s">
        <v>28</v>
      </c>
      <c r="M957" s="1">
        <v>43947</v>
      </c>
      <c r="N957" t="s">
        <v>41</v>
      </c>
      <c r="O957" t="s">
        <v>42</v>
      </c>
      <c r="P957">
        <v>25</v>
      </c>
      <c r="Q957" t="s">
        <v>68</v>
      </c>
      <c r="R957" t="s">
        <v>32</v>
      </c>
      <c r="S957">
        <v>4</v>
      </c>
      <c r="T957">
        <v>2020</v>
      </c>
      <c r="U957" t="s">
        <v>94</v>
      </c>
    </row>
    <row r="958" spans="1:21" x14ac:dyDescent="0.3">
      <c r="A958" t="s">
        <v>2921</v>
      </c>
      <c r="B958">
        <v>19</v>
      </c>
      <c r="C958" t="s">
        <v>47</v>
      </c>
      <c r="D958" t="s">
        <v>35</v>
      </c>
      <c r="E958" t="s">
        <v>96</v>
      </c>
      <c r="F958" s="1">
        <v>43853</v>
      </c>
      <c r="G958" t="s">
        <v>2922</v>
      </c>
      <c r="H958" t="s">
        <v>2923</v>
      </c>
      <c r="I958" t="s">
        <v>39</v>
      </c>
      <c r="J958">
        <v>41794.36</v>
      </c>
      <c r="K958">
        <v>354</v>
      </c>
      <c r="L958" t="s">
        <v>40</v>
      </c>
      <c r="M958" s="1">
        <v>43881</v>
      </c>
      <c r="N958" t="s">
        <v>52</v>
      </c>
      <c r="O958" t="s">
        <v>61</v>
      </c>
      <c r="P958">
        <v>28</v>
      </c>
      <c r="Q958" t="s">
        <v>31</v>
      </c>
      <c r="R958" t="s">
        <v>44</v>
      </c>
      <c r="S958">
        <v>1</v>
      </c>
      <c r="T958">
        <v>2020</v>
      </c>
      <c r="U958" t="s">
        <v>33</v>
      </c>
    </row>
    <row r="959" spans="1:21" x14ac:dyDescent="0.3">
      <c r="A959" t="s">
        <v>2924</v>
      </c>
      <c r="B959">
        <v>69</v>
      </c>
      <c r="C959" t="s">
        <v>47</v>
      </c>
      <c r="D959" t="s">
        <v>56</v>
      </c>
      <c r="E959" t="s">
        <v>57</v>
      </c>
      <c r="F959" s="1">
        <v>44967</v>
      </c>
      <c r="G959" t="s">
        <v>2925</v>
      </c>
      <c r="H959" t="s">
        <v>2926</v>
      </c>
      <c r="I959" t="s">
        <v>27</v>
      </c>
      <c r="J959">
        <v>40304.379999999997</v>
      </c>
      <c r="K959">
        <v>449</v>
      </c>
      <c r="L959" t="s">
        <v>40</v>
      </c>
      <c r="M959" s="1">
        <v>44982</v>
      </c>
      <c r="N959" t="s">
        <v>29</v>
      </c>
      <c r="O959" t="s">
        <v>42</v>
      </c>
      <c r="P959">
        <v>15</v>
      </c>
      <c r="Q959" t="s">
        <v>43</v>
      </c>
      <c r="R959" t="s">
        <v>44</v>
      </c>
      <c r="S959">
        <v>2</v>
      </c>
      <c r="T959">
        <v>2023</v>
      </c>
      <c r="U959" t="s">
        <v>278</v>
      </c>
    </row>
    <row r="960" spans="1:21" x14ac:dyDescent="0.3">
      <c r="A960" t="s">
        <v>2927</v>
      </c>
      <c r="B960">
        <v>69</v>
      </c>
      <c r="C960" t="s">
        <v>47</v>
      </c>
      <c r="D960" t="s">
        <v>23</v>
      </c>
      <c r="E960" t="s">
        <v>24</v>
      </c>
      <c r="F960" s="1">
        <v>45219</v>
      </c>
      <c r="G960" t="s">
        <v>2928</v>
      </c>
      <c r="H960" t="s">
        <v>2929</v>
      </c>
      <c r="I960" t="s">
        <v>39</v>
      </c>
      <c r="J960">
        <v>43825.06</v>
      </c>
      <c r="K960">
        <v>329</v>
      </c>
      <c r="L960" t="s">
        <v>60</v>
      </c>
      <c r="M960" s="1">
        <v>45227</v>
      </c>
      <c r="N960" t="s">
        <v>29</v>
      </c>
      <c r="O960" t="s">
        <v>30</v>
      </c>
      <c r="P960">
        <v>8</v>
      </c>
      <c r="Q960" t="s">
        <v>43</v>
      </c>
      <c r="R960" t="s">
        <v>44</v>
      </c>
      <c r="S960">
        <v>10</v>
      </c>
      <c r="T960">
        <v>2023</v>
      </c>
      <c r="U960" t="s">
        <v>110</v>
      </c>
    </row>
    <row r="961" spans="1:21" x14ac:dyDescent="0.3">
      <c r="A961" t="s">
        <v>2930</v>
      </c>
      <c r="B961">
        <v>56</v>
      </c>
      <c r="C961" t="s">
        <v>22</v>
      </c>
      <c r="D961" t="s">
        <v>48</v>
      </c>
      <c r="E961" t="s">
        <v>96</v>
      </c>
      <c r="F961" s="1">
        <v>44027</v>
      </c>
      <c r="G961" t="s">
        <v>2931</v>
      </c>
      <c r="H961" t="s">
        <v>2932</v>
      </c>
      <c r="I961" t="s">
        <v>39</v>
      </c>
      <c r="J961">
        <v>16509.89</v>
      </c>
      <c r="K961">
        <v>472</v>
      </c>
      <c r="L961" t="s">
        <v>40</v>
      </c>
      <c r="M961" s="1">
        <v>44054</v>
      </c>
      <c r="N961" t="s">
        <v>99</v>
      </c>
      <c r="O961" t="s">
        <v>42</v>
      </c>
      <c r="P961">
        <v>27</v>
      </c>
      <c r="Q961" t="s">
        <v>43</v>
      </c>
      <c r="R961" t="s">
        <v>32</v>
      </c>
      <c r="S961">
        <v>7</v>
      </c>
      <c r="T961">
        <v>2020</v>
      </c>
      <c r="U961" t="s">
        <v>86</v>
      </c>
    </row>
    <row r="962" spans="1:21" x14ac:dyDescent="0.3">
      <c r="A962" t="s">
        <v>2933</v>
      </c>
      <c r="B962">
        <v>36</v>
      </c>
      <c r="C962" t="s">
        <v>47</v>
      </c>
      <c r="D962" t="s">
        <v>48</v>
      </c>
      <c r="E962" t="s">
        <v>115</v>
      </c>
      <c r="F962" s="1">
        <v>44940</v>
      </c>
      <c r="G962" t="s">
        <v>2934</v>
      </c>
      <c r="H962" t="s">
        <v>2935</v>
      </c>
      <c r="I962" t="s">
        <v>39</v>
      </c>
      <c r="J962">
        <v>46268.73</v>
      </c>
      <c r="K962">
        <v>425</v>
      </c>
      <c r="L962" t="s">
        <v>60</v>
      </c>
      <c r="M962" s="1">
        <v>44965</v>
      </c>
      <c r="N962" t="s">
        <v>52</v>
      </c>
      <c r="O962" t="s">
        <v>30</v>
      </c>
      <c r="P962">
        <v>25</v>
      </c>
      <c r="Q962" t="s">
        <v>68</v>
      </c>
      <c r="R962" t="s">
        <v>44</v>
      </c>
      <c r="S962">
        <v>1</v>
      </c>
      <c r="T962">
        <v>2023</v>
      </c>
      <c r="U962" t="s">
        <v>33</v>
      </c>
    </row>
    <row r="963" spans="1:21" x14ac:dyDescent="0.3">
      <c r="A963" t="s">
        <v>2936</v>
      </c>
      <c r="B963">
        <v>44</v>
      </c>
      <c r="C963" t="s">
        <v>22</v>
      </c>
      <c r="D963" t="s">
        <v>48</v>
      </c>
      <c r="E963" t="s">
        <v>115</v>
      </c>
      <c r="F963" s="1">
        <v>44366</v>
      </c>
      <c r="G963" t="s">
        <v>2937</v>
      </c>
      <c r="H963" t="s">
        <v>2938</v>
      </c>
      <c r="I963" t="s">
        <v>73</v>
      </c>
      <c r="J963">
        <v>36272.75</v>
      </c>
      <c r="K963">
        <v>465</v>
      </c>
      <c r="L963" t="s">
        <v>40</v>
      </c>
      <c r="M963" s="1">
        <v>44391</v>
      </c>
      <c r="N963" t="s">
        <v>29</v>
      </c>
      <c r="O963" t="s">
        <v>30</v>
      </c>
      <c r="P963">
        <v>25</v>
      </c>
      <c r="Q963" t="s">
        <v>68</v>
      </c>
      <c r="R963" t="s">
        <v>44</v>
      </c>
      <c r="S963">
        <v>6</v>
      </c>
      <c r="T963">
        <v>2021</v>
      </c>
      <c r="U963" t="s">
        <v>118</v>
      </c>
    </row>
    <row r="964" spans="1:21" x14ac:dyDescent="0.3">
      <c r="A964" t="s">
        <v>2939</v>
      </c>
      <c r="B964">
        <v>32</v>
      </c>
      <c r="C964" t="s">
        <v>22</v>
      </c>
      <c r="D964" t="s">
        <v>149</v>
      </c>
      <c r="E964" t="s">
        <v>36</v>
      </c>
      <c r="F964" s="1">
        <v>43969</v>
      </c>
      <c r="G964" t="s">
        <v>2940</v>
      </c>
      <c r="H964" t="s">
        <v>2941</v>
      </c>
      <c r="I964" t="s">
        <v>39</v>
      </c>
      <c r="J964">
        <v>5614.52</v>
      </c>
      <c r="K964">
        <v>169</v>
      </c>
      <c r="L964" t="s">
        <v>28</v>
      </c>
      <c r="M964" s="1">
        <v>43970</v>
      </c>
      <c r="N964" t="s">
        <v>52</v>
      </c>
      <c r="O964" t="s">
        <v>61</v>
      </c>
      <c r="P964">
        <v>1</v>
      </c>
      <c r="Q964" t="s">
        <v>31</v>
      </c>
      <c r="R964" t="s">
        <v>100</v>
      </c>
      <c r="S964">
        <v>5</v>
      </c>
      <c r="T964">
        <v>2020</v>
      </c>
      <c r="U964" t="s">
        <v>90</v>
      </c>
    </row>
    <row r="965" spans="1:21" x14ac:dyDescent="0.3">
      <c r="A965" t="s">
        <v>2942</v>
      </c>
      <c r="B965">
        <v>61</v>
      </c>
      <c r="C965" t="s">
        <v>47</v>
      </c>
      <c r="D965" t="s">
        <v>23</v>
      </c>
      <c r="E965" t="s">
        <v>115</v>
      </c>
      <c r="F965" s="1">
        <v>43967</v>
      </c>
      <c r="G965" t="s">
        <v>2943</v>
      </c>
      <c r="H965" t="s">
        <v>2944</v>
      </c>
      <c r="I965" t="s">
        <v>73</v>
      </c>
      <c r="J965">
        <v>21429.67</v>
      </c>
      <c r="K965">
        <v>493</v>
      </c>
      <c r="L965" t="s">
        <v>60</v>
      </c>
      <c r="M965" s="1">
        <v>43997</v>
      </c>
      <c r="N965" t="s">
        <v>41</v>
      </c>
      <c r="O965" t="s">
        <v>61</v>
      </c>
      <c r="P965">
        <v>30</v>
      </c>
      <c r="Q965" t="s">
        <v>43</v>
      </c>
      <c r="R965" t="s">
        <v>32</v>
      </c>
      <c r="S965">
        <v>5</v>
      </c>
      <c r="T965">
        <v>2020</v>
      </c>
      <c r="U965" t="s">
        <v>90</v>
      </c>
    </row>
    <row r="966" spans="1:21" x14ac:dyDescent="0.3">
      <c r="A966" t="s">
        <v>2945</v>
      </c>
      <c r="B966">
        <v>61</v>
      </c>
      <c r="C966" t="s">
        <v>22</v>
      </c>
      <c r="D966" t="s">
        <v>64</v>
      </c>
      <c r="E966" t="s">
        <v>24</v>
      </c>
      <c r="F966" s="1">
        <v>44266</v>
      </c>
      <c r="G966" t="s">
        <v>2946</v>
      </c>
      <c r="H966" t="s">
        <v>2947</v>
      </c>
      <c r="I966" t="s">
        <v>82</v>
      </c>
      <c r="J966">
        <v>24057.47</v>
      </c>
      <c r="K966">
        <v>304</v>
      </c>
      <c r="L966" t="s">
        <v>40</v>
      </c>
      <c r="M966" s="1">
        <v>44288</v>
      </c>
      <c r="N966" t="s">
        <v>29</v>
      </c>
      <c r="O966" t="s">
        <v>30</v>
      </c>
      <c r="P966">
        <v>22</v>
      </c>
      <c r="Q966" t="s">
        <v>43</v>
      </c>
      <c r="R966" t="s">
        <v>32</v>
      </c>
      <c r="S966">
        <v>3</v>
      </c>
      <c r="T966">
        <v>2021</v>
      </c>
      <c r="U966" t="s">
        <v>122</v>
      </c>
    </row>
    <row r="967" spans="1:21" x14ac:dyDescent="0.3">
      <c r="A967" t="s">
        <v>2948</v>
      </c>
      <c r="B967">
        <v>47</v>
      </c>
      <c r="C967" t="s">
        <v>22</v>
      </c>
      <c r="D967" t="s">
        <v>23</v>
      </c>
      <c r="E967" t="s">
        <v>115</v>
      </c>
      <c r="F967" s="1">
        <v>44962</v>
      </c>
      <c r="G967" t="s">
        <v>2949</v>
      </c>
      <c r="H967" t="s">
        <v>2950</v>
      </c>
      <c r="I967" t="s">
        <v>27</v>
      </c>
      <c r="J967">
        <v>22775.47</v>
      </c>
      <c r="K967">
        <v>462</v>
      </c>
      <c r="L967" t="s">
        <v>60</v>
      </c>
      <c r="M967" s="1">
        <v>44969</v>
      </c>
      <c r="N967" t="s">
        <v>67</v>
      </c>
      <c r="O967" t="s">
        <v>61</v>
      </c>
      <c r="P967">
        <v>7</v>
      </c>
      <c r="Q967" t="s">
        <v>68</v>
      </c>
      <c r="R967" t="s">
        <v>32</v>
      </c>
      <c r="S967">
        <v>2</v>
      </c>
      <c r="T967">
        <v>2023</v>
      </c>
      <c r="U967" t="s">
        <v>278</v>
      </c>
    </row>
    <row r="968" spans="1:21" x14ac:dyDescent="0.3">
      <c r="A968" t="s">
        <v>2951</v>
      </c>
      <c r="B968">
        <v>49</v>
      </c>
      <c r="C968" t="s">
        <v>47</v>
      </c>
      <c r="D968" t="s">
        <v>35</v>
      </c>
      <c r="E968" t="s">
        <v>36</v>
      </c>
      <c r="F968" s="1">
        <v>44488</v>
      </c>
      <c r="G968" t="s">
        <v>2952</v>
      </c>
      <c r="H968" t="s">
        <v>2953</v>
      </c>
      <c r="I968" t="s">
        <v>82</v>
      </c>
      <c r="J968">
        <v>30953.78</v>
      </c>
      <c r="K968">
        <v>186</v>
      </c>
      <c r="L968" t="s">
        <v>28</v>
      </c>
      <c r="M968" s="1">
        <v>44512</v>
      </c>
      <c r="N968" t="s">
        <v>67</v>
      </c>
      <c r="O968" t="s">
        <v>30</v>
      </c>
      <c r="P968">
        <v>24</v>
      </c>
      <c r="Q968" t="s">
        <v>68</v>
      </c>
      <c r="R968" t="s">
        <v>44</v>
      </c>
      <c r="S968">
        <v>10</v>
      </c>
      <c r="T968">
        <v>2021</v>
      </c>
      <c r="U968" t="s">
        <v>110</v>
      </c>
    </row>
    <row r="969" spans="1:21" x14ac:dyDescent="0.3">
      <c r="A969" t="s">
        <v>2954</v>
      </c>
      <c r="B969">
        <v>83</v>
      </c>
      <c r="C969" t="s">
        <v>22</v>
      </c>
      <c r="D969" t="s">
        <v>23</v>
      </c>
      <c r="E969" t="s">
        <v>70</v>
      </c>
      <c r="F969" s="1">
        <v>43715</v>
      </c>
      <c r="G969" t="s">
        <v>2955</v>
      </c>
      <c r="H969" t="s">
        <v>2956</v>
      </c>
      <c r="I969" t="s">
        <v>39</v>
      </c>
      <c r="J969">
        <v>12101.13</v>
      </c>
      <c r="K969">
        <v>424</v>
      </c>
      <c r="L969" t="s">
        <v>28</v>
      </c>
      <c r="M969" s="1">
        <v>43737</v>
      </c>
      <c r="N969" t="s">
        <v>52</v>
      </c>
      <c r="O969" t="s">
        <v>61</v>
      </c>
      <c r="P969">
        <v>22</v>
      </c>
      <c r="Q969" t="s">
        <v>53</v>
      </c>
      <c r="R969" t="s">
        <v>32</v>
      </c>
      <c r="S969">
        <v>9</v>
      </c>
      <c r="T969">
        <v>2019</v>
      </c>
      <c r="U969" t="s">
        <v>54</v>
      </c>
    </row>
    <row r="970" spans="1:21" x14ac:dyDescent="0.3">
      <c r="A970" t="s">
        <v>2957</v>
      </c>
      <c r="B970">
        <v>63</v>
      </c>
      <c r="C970" t="s">
        <v>22</v>
      </c>
      <c r="D970" t="s">
        <v>23</v>
      </c>
      <c r="E970" t="s">
        <v>70</v>
      </c>
      <c r="F970" s="1">
        <v>44342</v>
      </c>
      <c r="G970" t="s">
        <v>2958</v>
      </c>
      <c r="H970" t="s">
        <v>2959</v>
      </c>
      <c r="I970" t="s">
        <v>27</v>
      </c>
      <c r="J970">
        <v>1478.18</v>
      </c>
      <c r="K970">
        <v>478</v>
      </c>
      <c r="L970" t="s">
        <v>60</v>
      </c>
      <c r="M970" s="1">
        <v>44367</v>
      </c>
      <c r="N970" t="s">
        <v>41</v>
      </c>
      <c r="O970" t="s">
        <v>30</v>
      </c>
      <c r="P970">
        <v>25</v>
      </c>
      <c r="Q970" t="s">
        <v>43</v>
      </c>
      <c r="R970" t="s">
        <v>100</v>
      </c>
      <c r="S970">
        <v>5</v>
      </c>
      <c r="T970">
        <v>2021</v>
      </c>
      <c r="U970" t="s">
        <v>90</v>
      </c>
    </row>
    <row r="971" spans="1:21" x14ac:dyDescent="0.3">
      <c r="A971" t="s">
        <v>2960</v>
      </c>
      <c r="B971">
        <v>26</v>
      </c>
      <c r="C971" t="s">
        <v>47</v>
      </c>
      <c r="D971" t="s">
        <v>149</v>
      </c>
      <c r="E971" t="s">
        <v>24</v>
      </c>
      <c r="F971" s="1">
        <v>44323</v>
      </c>
      <c r="G971" t="s">
        <v>2961</v>
      </c>
      <c r="H971" t="s">
        <v>2962</v>
      </c>
      <c r="I971" t="s">
        <v>51</v>
      </c>
      <c r="J971">
        <v>37197.86</v>
      </c>
      <c r="K971">
        <v>124</v>
      </c>
      <c r="L971" t="s">
        <v>28</v>
      </c>
      <c r="M971" s="1">
        <v>44343</v>
      </c>
      <c r="N971" t="s">
        <v>67</v>
      </c>
      <c r="O971" t="s">
        <v>61</v>
      </c>
      <c r="P971">
        <v>20</v>
      </c>
      <c r="Q971" t="s">
        <v>31</v>
      </c>
      <c r="R971" t="s">
        <v>44</v>
      </c>
      <c r="S971">
        <v>5</v>
      </c>
      <c r="T971">
        <v>2021</v>
      </c>
      <c r="U971" t="s">
        <v>90</v>
      </c>
    </row>
    <row r="972" spans="1:21" x14ac:dyDescent="0.3">
      <c r="A972" t="s">
        <v>2963</v>
      </c>
      <c r="B972">
        <v>20</v>
      </c>
      <c r="C972" t="s">
        <v>47</v>
      </c>
      <c r="D972" t="s">
        <v>76</v>
      </c>
      <c r="E972" t="s">
        <v>115</v>
      </c>
      <c r="F972" s="1">
        <v>44943</v>
      </c>
      <c r="G972" t="s">
        <v>2964</v>
      </c>
      <c r="H972" t="s">
        <v>2965</v>
      </c>
      <c r="I972" t="s">
        <v>39</v>
      </c>
      <c r="J972">
        <v>5407.73</v>
      </c>
      <c r="K972">
        <v>294</v>
      </c>
      <c r="L972" t="s">
        <v>60</v>
      </c>
      <c r="M972" s="1">
        <v>44955</v>
      </c>
      <c r="N972" t="s">
        <v>29</v>
      </c>
      <c r="O972" t="s">
        <v>30</v>
      </c>
      <c r="P972">
        <v>12</v>
      </c>
      <c r="Q972" t="s">
        <v>31</v>
      </c>
      <c r="R972" t="s">
        <v>100</v>
      </c>
      <c r="S972">
        <v>1</v>
      </c>
      <c r="T972">
        <v>2023</v>
      </c>
      <c r="U972" t="s">
        <v>33</v>
      </c>
    </row>
    <row r="973" spans="1:21" x14ac:dyDescent="0.3">
      <c r="A973" t="s">
        <v>2966</v>
      </c>
      <c r="B973">
        <v>69</v>
      </c>
      <c r="C973" t="s">
        <v>22</v>
      </c>
      <c r="D973" t="s">
        <v>76</v>
      </c>
      <c r="E973" t="s">
        <v>70</v>
      </c>
      <c r="F973" s="1">
        <v>43895</v>
      </c>
      <c r="G973" t="s">
        <v>2967</v>
      </c>
      <c r="H973" t="s">
        <v>2968</v>
      </c>
      <c r="I973" t="s">
        <v>39</v>
      </c>
      <c r="J973">
        <v>6035.46</v>
      </c>
      <c r="K973">
        <v>282</v>
      </c>
      <c r="L973" t="s">
        <v>28</v>
      </c>
      <c r="M973" s="1">
        <v>43896</v>
      </c>
      <c r="N973" t="s">
        <v>99</v>
      </c>
      <c r="O973" t="s">
        <v>30</v>
      </c>
      <c r="P973">
        <v>1</v>
      </c>
      <c r="Q973" t="s">
        <v>43</v>
      </c>
      <c r="R973" t="s">
        <v>100</v>
      </c>
      <c r="S973">
        <v>3</v>
      </c>
      <c r="T973">
        <v>2020</v>
      </c>
      <c r="U973" t="s">
        <v>122</v>
      </c>
    </row>
    <row r="974" spans="1:21" x14ac:dyDescent="0.3">
      <c r="A974" t="s">
        <v>2969</v>
      </c>
      <c r="B974">
        <v>26</v>
      </c>
      <c r="C974" t="s">
        <v>22</v>
      </c>
      <c r="D974" t="s">
        <v>76</v>
      </c>
      <c r="E974" t="s">
        <v>70</v>
      </c>
      <c r="F974" s="1">
        <v>44820</v>
      </c>
      <c r="G974" t="s">
        <v>2970</v>
      </c>
      <c r="H974" t="s">
        <v>2971</v>
      </c>
      <c r="I974" t="s">
        <v>27</v>
      </c>
      <c r="J974">
        <v>5778.25</v>
      </c>
      <c r="K974">
        <v>408</v>
      </c>
      <c r="L974" t="s">
        <v>60</v>
      </c>
      <c r="M974" s="1">
        <v>44850</v>
      </c>
      <c r="N974" t="s">
        <v>52</v>
      </c>
      <c r="O974" t="s">
        <v>30</v>
      </c>
      <c r="P974">
        <v>30</v>
      </c>
      <c r="Q974" t="s">
        <v>31</v>
      </c>
      <c r="R974" t="s">
        <v>100</v>
      </c>
      <c r="S974">
        <v>9</v>
      </c>
      <c r="T974">
        <v>2022</v>
      </c>
      <c r="U974" t="s">
        <v>54</v>
      </c>
    </row>
    <row r="975" spans="1:21" x14ac:dyDescent="0.3">
      <c r="A975" t="s">
        <v>2972</v>
      </c>
      <c r="B975">
        <v>36</v>
      </c>
      <c r="C975" t="s">
        <v>22</v>
      </c>
      <c r="D975" t="s">
        <v>64</v>
      </c>
      <c r="E975" t="s">
        <v>115</v>
      </c>
      <c r="F975" s="1">
        <v>44715</v>
      </c>
      <c r="G975" t="s">
        <v>2973</v>
      </c>
      <c r="H975" t="s">
        <v>2974</v>
      </c>
      <c r="I975" t="s">
        <v>73</v>
      </c>
      <c r="J975">
        <v>46602.69</v>
      </c>
      <c r="K975">
        <v>229</v>
      </c>
      <c r="L975" t="s">
        <v>60</v>
      </c>
      <c r="M975" s="1">
        <v>44740</v>
      </c>
      <c r="N975" t="s">
        <v>41</v>
      </c>
      <c r="O975" t="s">
        <v>61</v>
      </c>
      <c r="P975">
        <v>25</v>
      </c>
      <c r="Q975" t="s">
        <v>68</v>
      </c>
      <c r="R975" t="s">
        <v>44</v>
      </c>
      <c r="S975">
        <v>6</v>
      </c>
      <c r="T975">
        <v>2022</v>
      </c>
      <c r="U975" t="s">
        <v>118</v>
      </c>
    </row>
    <row r="976" spans="1:21" x14ac:dyDescent="0.3">
      <c r="A976" t="s">
        <v>2975</v>
      </c>
      <c r="B976">
        <v>27</v>
      </c>
      <c r="C976" t="s">
        <v>22</v>
      </c>
      <c r="D976" t="s">
        <v>76</v>
      </c>
      <c r="E976" t="s">
        <v>57</v>
      </c>
      <c r="F976" s="1">
        <v>44195</v>
      </c>
      <c r="G976" t="s">
        <v>2976</v>
      </c>
      <c r="H976" t="s">
        <v>2977</v>
      </c>
      <c r="I976" t="s">
        <v>39</v>
      </c>
      <c r="J976">
        <v>47789.83</v>
      </c>
      <c r="K976">
        <v>493</v>
      </c>
      <c r="L976" t="s">
        <v>40</v>
      </c>
      <c r="M976" s="1">
        <v>44222</v>
      </c>
      <c r="N976" t="s">
        <v>29</v>
      </c>
      <c r="O976" t="s">
        <v>61</v>
      </c>
      <c r="P976">
        <v>27</v>
      </c>
      <c r="Q976" t="s">
        <v>31</v>
      </c>
      <c r="R976" t="s">
        <v>44</v>
      </c>
      <c r="S976">
        <v>12</v>
      </c>
      <c r="T976">
        <v>2020</v>
      </c>
      <c r="U976" t="s">
        <v>74</v>
      </c>
    </row>
    <row r="977" spans="1:21" x14ac:dyDescent="0.3">
      <c r="A977" t="s">
        <v>2978</v>
      </c>
      <c r="B977">
        <v>60</v>
      </c>
      <c r="C977" t="s">
        <v>47</v>
      </c>
      <c r="D977" t="s">
        <v>23</v>
      </c>
      <c r="E977" t="s">
        <v>36</v>
      </c>
      <c r="F977" s="1">
        <v>44052</v>
      </c>
      <c r="G977" t="s">
        <v>2979</v>
      </c>
      <c r="H977" t="s">
        <v>2980</v>
      </c>
      <c r="I977" t="s">
        <v>51</v>
      </c>
      <c r="J977">
        <v>46608.39</v>
      </c>
      <c r="K977">
        <v>142</v>
      </c>
      <c r="L977" t="s">
        <v>40</v>
      </c>
      <c r="M977" s="1">
        <v>44058</v>
      </c>
      <c r="N977" t="s">
        <v>67</v>
      </c>
      <c r="O977" t="s">
        <v>61</v>
      </c>
      <c r="P977">
        <v>6</v>
      </c>
      <c r="Q977" t="s">
        <v>43</v>
      </c>
      <c r="R977" t="s">
        <v>44</v>
      </c>
      <c r="S977">
        <v>8</v>
      </c>
      <c r="T977">
        <v>2020</v>
      </c>
      <c r="U977" t="s">
        <v>45</v>
      </c>
    </row>
    <row r="978" spans="1:21" x14ac:dyDescent="0.3">
      <c r="A978" t="s">
        <v>2981</v>
      </c>
      <c r="B978">
        <v>67</v>
      </c>
      <c r="C978" t="s">
        <v>47</v>
      </c>
      <c r="D978" t="s">
        <v>76</v>
      </c>
      <c r="E978" t="s">
        <v>115</v>
      </c>
      <c r="F978" s="1">
        <v>44265</v>
      </c>
      <c r="G978" t="s">
        <v>2982</v>
      </c>
      <c r="H978" t="s">
        <v>2983</v>
      </c>
      <c r="I978" t="s">
        <v>73</v>
      </c>
      <c r="J978">
        <v>8709.0400000000009</v>
      </c>
      <c r="K978">
        <v>187</v>
      </c>
      <c r="L978" t="s">
        <v>60</v>
      </c>
      <c r="M978" s="1">
        <v>44284</v>
      </c>
      <c r="N978" t="s">
        <v>99</v>
      </c>
      <c r="O978" t="s">
        <v>30</v>
      </c>
      <c r="P978">
        <v>19</v>
      </c>
      <c r="Q978" t="s">
        <v>43</v>
      </c>
      <c r="R978" t="s">
        <v>100</v>
      </c>
      <c r="S978">
        <v>3</v>
      </c>
      <c r="T978">
        <v>2021</v>
      </c>
      <c r="U978" t="s">
        <v>122</v>
      </c>
    </row>
    <row r="979" spans="1:21" x14ac:dyDescent="0.3">
      <c r="A979" t="s">
        <v>2984</v>
      </c>
      <c r="B979">
        <v>41</v>
      </c>
      <c r="C979" t="s">
        <v>47</v>
      </c>
      <c r="D979" t="s">
        <v>56</v>
      </c>
      <c r="E979" t="s">
        <v>24</v>
      </c>
      <c r="F979" s="1">
        <v>44270</v>
      </c>
      <c r="G979" t="s">
        <v>2985</v>
      </c>
      <c r="H979" t="s">
        <v>2986</v>
      </c>
      <c r="I979" t="s">
        <v>73</v>
      </c>
      <c r="J979">
        <v>18271</v>
      </c>
      <c r="K979">
        <v>178</v>
      </c>
      <c r="L979" t="s">
        <v>28</v>
      </c>
      <c r="M979" s="1">
        <v>44281</v>
      </c>
      <c r="N979" t="s">
        <v>41</v>
      </c>
      <c r="O979" t="s">
        <v>61</v>
      </c>
      <c r="P979">
        <v>11</v>
      </c>
      <c r="Q979" t="s">
        <v>68</v>
      </c>
      <c r="R979" t="s">
        <v>32</v>
      </c>
      <c r="S979">
        <v>3</v>
      </c>
      <c r="T979">
        <v>2021</v>
      </c>
      <c r="U979" t="s">
        <v>122</v>
      </c>
    </row>
    <row r="980" spans="1:21" x14ac:dyDescent="0.3">
      <c r="A980" t="s">
        <v>2987</v>
      </c>
      <c r="B980">
        <v>45</v>
      </c>
      <c r="C980" t="s">
        <v>22</v>
      </c>
      <c r="D980" t="s">
        <v>23</v>
      </c>
      <c r="E980" t="s">
        <v>96</v>
      </c>
      <c r="F980" s="1">
        <v>44431</v>
      </c>
      <c r="G980" t="s">
        <v>2988</v>
      </c>
      <c r="H980" t="s">
        <v>2989</v>
      </c>
      <c r="I980" t="s">
        <v>39</v>
      </c>
      <c r="J980">
        <v>17679.03</v>
      </c>
      <c r="K980">
        <v>132</v>
      </c>
      <c r="L980" t="s">
        <v>28</v>
      </c>
      <c r="M980" s="1">
        <v>44432</v>
      </c>
      <c r="N980" t="s">
        <v>67</v>
      </c>
      <c r="O980" t="s">
        <v>30</v>
      </c>
      <c r="P980">
        <v>1</v>
      </c>
      <c r="Q980" t="s">
        <v>68</v>
      </c>
      <c r="R980" t="s">
        <v>32</v>
      </c>
      <c r="S980">
        <v>8</v>
      </c>
      <c r="T980">
        <v>2021</v>
      </c>
      <c r="U980" t="s">
        <v>45</v>
      </c>
    </row>
    <row r="981" spans="1:21" x14ac:dyDescent="0.3">
      <c r="A981" t="s">
        <v>2990</v>
      </c>
      <c r="B981">
        <v>37</v>
      </c>
      <c r="C981" t="s">
        <v>22</v>
      </c>
      <c r="D981" t="s">
        <v>35</v>
      </c>
      <c r="E981" t="s">
        <v>57</v>
      </c>
      <c r="F981" s="1">
        <v>45241</v>
      </c>
      <c r="G981" t="s">
        <v>2991</v>
      </c>
      <c r="H981" t="s">
        <v>2992</v>
      </c>
      <c r="I981" t="s">
        <v>82</v>
      </c>
      <c r="J981">
        <v>21965.15</v>
      </c>
      <c r="K981">
        <v>406</v>
      </c>
      <c r="L981" t="s">
        <v>40</v>
      </c>
      <c r="M981" s="1">
        <v>45258</v>
      </c>
      <c r="N981" t="s">
        <v>67</v>
      </c>
      <c r="O981" t="s">
        <v>42</v>
      </c>
      <c r="P981">
        <v>17</v>
      </c>
      <c r="Q981" t="s">
        <v>68</v>
      </c>
      <c r="R981" t="s">
        <v>32</v>
      </c>
      <c r="S981">
        <v>11</v>
      </c>
      <c r="T981">
        <v>2023</v>
      </c>
      <c r="U981" t="s">
        <v>62</v>
      </c>
    </row>
    <row r="982" spans="1:21" x14ac:dyDescent="0.3">
      <c r="A982" t="s">
        <v>2993</v>
      </c>
      <c r="B982">
        <v>46</v>
      </c>
      <c r="C982" t="s">
        <v>22</v>
      </c>
      <c r="D982" t="s">
        <v>35</v>
      </c>
      <c r="E982" t="s">
        <v>24</v>
      </c>
      <c r="F982" s="1">
        <v>45291</v>
      </c>
      <c r="G982" t="s">
        <v>2994</v>
      </c>
      <c r="H982" t="s">
        <v>2995</v>
      </c>
      <c r="I982" t="s">
        <v>82</v>
      </c>
      <c r="J982">
        <v>27309.71</v>
      </c>
      <c r="K982">
        <v>326</v>
      </c>
      <c r="L982" t="s">
        <v>40</v>
      </c>
      <c r="M982" s="1">
        <v>45318</v>
      </c>
      <c r="N982" t="s">
        <v>67</v>
      </c>
      <c r="O982" t="s">
        <v>42</v>
      </c>
      <c r="P982">
        <v>27</v>
      </c>
      <c r="Q982" t="s">
        <v>68</v>
      </c>
      <c r="R982" t="s">
        <v>32</v>
      </c>
      <c r="S982">
        <v>12</v>
      </c>
      <c r="T982">
        <v>2023</v>
      </c>
      <c r="U982" t="s">
        <v>74</v>
      </c>
    </row>
    <row r="983" spans="1:21" x14ac:dyDescent="0.3">
      <c r="A983" t="s">
        <v>2996</v>
      </c>
      <c r="B983">
        <v>71</v>
      </c>
      <c r="C983" t="s">
        <v>47</v>
      </c>
      <c r="D983" t="s">
        <v>35</v>
      </c>
      <c r="E983" t="s">
        <v>115</v>
      </c>
      <c r="F983" s="1">
        <v>43729</v>
      </c>
      <c r="G983" t="s">
        <v>2997</v>
      </c>
      <c r="H983" t="s">
        <v>2998</v>
      </c>
      <c r="I983" t="s">
        <v>82</v>
      </c>
      <c r="J983">
        <v>4437.96</v>
      </c>
      <c r="K983">
        <v>406</v>
      </c>
      <c r="L983" t="s">
        <v>40</v>
      </c>
      <c r="M983" s="1">
        <v>43758</v>
      </c>
      <c r="N983" t="s">
        <v>67</v>
      </c>
      <c r="O983" t="s">
        <v>30</v>
      </c>
      <c r="P983">
        <v>29</v>
      </c>
      <c r="Q983" t="s">
        <v>53</v>
      </c>
      <c r="R983" t="s">
        <v>100</v>
      </c>
      <c r="S983">
        <v>9</v>
      </c>
      <c r="T983">
        <v>2019</v>
      </c>
      <c r="U983" t="s">
        <v>54</v>
      </c>
    </row>
    <row r="984" spans="1:21" x14ac:dyDescent="0.3">
      <c r="A984" t="s">
        <v>2999</v>
      </c>
      <c r="B984">
        <v>69</v>
      </c>
      <c r="C984" t="s">
        <v>47</v>
      </c>
      <c r="D984" t="s">
        <v>127</v>
      </c>
      <c r="E984" t="s">
        <v>96</v>
      </c>
      <c r="F984" s="1">
        <v>44869</v>
      </c>
      <c r="G984" t="s">
        <v>3000</v>
      </c>
      <c r="H984" t="s">
        <v>3001</v>
      </c>
      <c r="I984" t="s">
        <v>73</v>
      </c>
      <c r="J984">
        <v>15704.09</v>
      </c>
      <c r="K984">
        <v>334</v>
      </c>
      <c r="L984" t="s">
        <v>40</v>
      </c>
      <c r="M984" s="1">
        <v>44878</v>
      </c>
      <c r="N984" t="s">
        <v>41</v>
      </c>
      <c r="O984" t="s">
        <v>42</v>
      </c>
      <c r="P984">
        <v>9</v>
      </c>
      <c r="Q984" t="s">
        <v>43</v>
      </c>
      <c r="R984" t="s">
        <v>32</v>
      </c>
      <c r="S984">
        <v>11</v>
      </c>
      <c r="T984">
        <v>2022</v>
      </c>
      <c r="U984" t="s">
        <v>62</v>
      </c>
    </row>
    <row r="985" spans="1:21" x14ac:dyDescent="0.3">
      <c r="A985" t="s">
        <v>3002</v>
      </c>
      <c r="B985">
        <v>65</v>
      </c>
      <c r="C985" t="s">
        <v>22</v>
      </c>
      <c r="D985" t="s">
        <v>149</v>
      </c>
      <c r="E985" t="s">
        <v>70</v>
      </c>
      <c r="F985" s="1">
        <v>43685</v>
      </c>
      <c r="G985" t="s">
        <v>3003</v>
      </c>
      <c r="H985" t="s">
        <v>3004</v>
      </c>
      <c r="I985" t="s">
        <v>39</v>
      </c>
      <c r="J985">
        <v>16528.8</v>
      </c>
      <c r="K985">
        <v>286</v>
      </c>
      <c r="L985" t="s">
        <v>28</v>
      </c>
      <c r="M985" s="1">
        <v>43696</v>
      </c>
      <c r="N985" t="s">
        <v>29</v>
      </c>
      <c r="O985" t="s">
        <v>61</v>
      </c>
      <c r="P985">
        <v>11</v>
      </c>
      <c r="Q985" t="s">
        <v>43</v>
      </c>
      <c r="R985" t="s">
        <v>32</v>
      </c>
      <c r="S985">
        <v>8</v>
      </c>
      <c r="T985">
        <v>2019</v>
      </c>
      <c r="U985" t="s">
        <v>45</v>
      </c>
    </row>
    <row r="986" spans="1:21" x14ac:dyDescent="0.3">
      <c r="A986" t="s">
        <v>3005</v>
      </c>
      <c r="B986">
        <v>75</v>
      </c>
      <c r="C986" t="s">
        <v>47</v>
      </c>
      <c r="D986" t="s">
        <v>56</v>
      </c>
      <c r="E986" t="s">
        <v>115</v>
      </c>
      <c r="F986" s="1">
        <v>45204</v>
      </c>
      <c r="G986" t="s">
        <v>3006</v>
      </c>
      <c r="H986" t="s">
        <v>3007</v>
      </c>
      <c r="I986" t="s">
        <v>82</v>
      </c>
      <c r="J986">
        <v>3621.16</v>
      </c>
      <c r="K986">
        <v>346</v>
      </c>
      <c r="L986" t="s">
        <v>60</v>
      </c>
      <c r="M986" s="1">
        <v>45207</v>
      </c>
      <c r="N986" t="s">
        <v>67</v>
      </c>
      <c r="O986" t="s">
        <v>42</v>
      </c>
      <c r="P986">
        <v>3</v>
      </c>
      <c r="Q986" t="s">
        <v>53</v>
      </c>
      <c r="R986" t="s">
        <v>100</v>
      </c>
      <c r="S986">
        <v>10</v>
      </c>
      <c r="T986">
        <v>2023</v>
      </c>
      <c r="U986" t="s">
        <v>110</v>
      </c>
    </row>
    <row r="987" spans="1:21" x14ac:dyDescent="0.3">
      <c r="A987" t="s">
        <v>3008</v>
      </c>
      <c r="B987">
        <v>77</v>
      </c>
      <c r="C987" t="s">
        <v>22</v>
      </c>
      <c r="D987" t="s">
        <v>56</v>
      </c>
      <c r="E987" t="s">
        <v>57</v>
      </c>
      <c r="F987" s="1">
        <v>44071</v>
      </c>
      <c r="G987" t="s">
        <v>3009</v>
      </c>
      <c r="H987" t="s">
        <v>3010</v>
      </c>
      <c r="I987" t="s">
        <v>73</v>
      </c>
      <c r="J987">
        <v>47863.02</v>
      </c>
      <c r="K987">
        <v>159</v>
      </c>
      <c r="L987" t="s">
        <v>28</v>
      </c>
      <c r="M987" s="1">
        <v>44078</v>
      </c>
      <c r="N987" t="s">
        <v>41</v>
      </c>
      <c r="O987" t="s">
        <v>30</v>
      </c>
      <c r="P987">
        <v>7</v>
      </c>
      <c r="Q987" t="s">
        <v>53</v>
      </c>
      <c r="R987" t="s">
        <v>44</v>
      </c>
      <c r="S987">
        <v>8</v>
      </c>
      <c r="T987">
        <v>2020</v>
      </c>
      <c r="U987" t="s">
        <v>45</v>
      </c>
    </row>
    <row r="988" spans="1:21" x14ac:dyDescent="0.3">
      <c r="A988" t="s">
        <v>3011</v>
      </c>
      <c r="B988">
        <v>22</v>
      </c>
      <c r="C988" t="s">
        <v>22</v>
      </c>
      <c r="D988" t="s">
        <v>35</v>
      </c>
      <c r="E988" t="s">
        <v>36</v>
      </c>
      <c r="F988" s="1">
        <v>44020</v>
      </c>
      <c r="G988" t="s">
        <v>3012</v>
      </c>
      <c r="H988" t="s">
        <v>3013</v>
      </c>
      <c r="I988" t="s">
        <v>39</v>
      </c>
      <c r="J988">
        <v>46772.58</v>
      </c>
      <c r="K988">
        <v>311</v>
      </c>
      <c r="L988" t="s">
        <v>40</v>
      </c>
      <c r="M988" s="1">
        <v>44025</v>
      </c>
      <c r="N988" t="s">
        <v>41</v>
      </c>
      <c r="O988" t="s">
        <v>61</v>
      </c>
      <c r="P988">
        <v>5</v>
      </c>
      <c r="Q988" t="s">
        <v>31</v>
      </c>
      <c r="R988" t="s">
        <v>44</v>
      </c>
      <c r="S988">
        <v>7</v>
      </c>
      <c r="T988">
        <v>2020</v>
      </c>
      <c r="U988" t="s">
        <v>86</v>
      </c>
    </row>
    <row r="989" spans="1:21" x14ac:dyDescent="0.3">
      <c r="A989" t="s">
        <v>3014</v>
      </c>
      <c r="B989">
        <v>58</v>
      </c>
      <c r="C989" t="s">
        <v>47</v>
      </c>
      <c r="D989" t="s">
        <v>56</v>
      </c>
      <c r="E989" t="s">
        <v>36</v>
      </c>
      <c r="F989" s="1">
        <v>45205</v>
      </c>
      <c r="G989" t="s">
        <v>3015</v>
      </c>
      <c r="H989" t="s">
        <v>3016</v>
      </c>
      <c r="I989" t="s">
        <v>39</v>
      </c>
      <c r="J989">
        <v>18479.740000000002</v>
      </c>
      <c r="K989">
        <v>438</v>
      </c>
      <c r="L989" t="s">
        <v>28</v>
      </c>
      <c r="M989" s="1">
        <v>45208</v>
      </c>
      <c r="N989" t="s">
        <v>41</v>
      </c>
      <c r="O989" t="s">
        <v>42</v>
      </c>
      <c r="P989">
        <v>3</v>
      </c>
      <c r="Q989" t="s">
        <v>43</v>
      </c>
      <c r="R989" t="s">
        <v>32</v>
      </c>
      <c r="S989">
        <v>10</v>
      </c>
      <c r="T989">
        <v>2023</v>
      </c>
      <c r="U989" t="s">
        <v>110</v>
      </c>
    </row>
    <row r="990" spans="1:21" x14ac:dyDescent="0.3">
      <c r="A990" t="s">
        <v>3017</v>
      </c>
      <c r="B990">
        <v>25</v>
      </c>
      <c r="C990" t="s">
        <v>47</v>
      </c>
      <c r="D990" t="s">
        <v>48</v>
      </c>
      <c r="E990" t="s">
        <v>24</v>
      </c>
      <c r="F990" s="1">
        <v>45108</v>
      </c>
      <c r="G990" t="s">
        <v>3018</v>
      </c>
      <c r="H990" t="s">
        <v>3019</v>
      </c>
      <c r="I990" t="s">
        <v>27</v>
      </c>
      <c r="J990">
        <v>7285.49</v>
      </c>
      <c r="K990">
        <v>103</v>
      </c>
      <c r="L990" t="s">
        <v>28</v>
      </c>
      <c r="M990" s="1">
        <v>45112</v>
      </c>
      <c r="N990" t="s">
        <v>99</v>
      </c>
      <c r="O990" t="s">
        <v>30</v>
      </c>
      <c r="P990">
        <v>4</v>
      </c>
      <c r="Q990" t="s">
        <v>31</v>
      </c>
      <c r="R990" t="s">
        <v>100</v>
      </c>
      <c r="S990">
        <v>7</v>
      </c>
      <c r="T990">
        <v>2023</v>
      </c>
      <c r="U990" t="s">
        <v>86</v>
      </c>
    </row>
    <row r="991" spans="1:21" x14ac:dyDescent="0.3">
      <c r="A991" t="s">
        <v>3020</v>
      </c>
      <c r="B991">
        <v>83</v>
      </c>
      <c r="C991" t="s">
        <v>47</v>
      </c>
      <c r="D991" t="s">
        <v>23</v>
      </c>
      <c r="E991" t="s">
        <v>57</v>
      </c>
      <c r="F991" s="1">
        <v>44415</v>
      </c>
      <c r="G991" t="s">
        <v>3021</v>
      </c>
      <c r="H991" t="s">
        <v>3022</v>
      </c>
      <c r="I991" t="s">
        <v>27</v>
      </c>
      <c r="J991">
        <v>6818.72</v>
      </c>
      <c r="K991">
        <v>101</v>
      </c>
      <c r="L991" t="s">
        <v>60</v>
      </c>
      <c r="M991" s="1">
        <v>44428</v>
      </c>
      <c r="N991" t="s">
        <v>99</v>
      </c>
      <c r="O991" t="s">
        <v>30</v>
      </c>
      <c r="P991">
        <v>13</v>
      </c>
      <c r="Q991" t="s">
        <v>53</v>
      </c>
      <c r="R991" t="s">
        <v>100</v>
      </c>
      <c r="S991">
        <v>8</v>
      </c>
      <c r="T991">
        <v>2021</v>
      </c>
      <c r="U991" t="s">
        <v>45</v>
      </c>
    </row>
    <row r="992" spans="1:21" x14ac:dyDescent="0.3">
      <c r="A992" t="s">
        <v>3023</v>
      </c>
      <c r="B992">
        <v>27</v>
      </c>
      <c r="C992" t="s">
        <v>22</v>
      </c>
      <c r="D992" t="s">
        <v>48</v>
      </c>
      <c r="E992" t="s">
        <v>96</v>
      </c>
      <c r="F992" s="1">
        <v>43964</v>
      </c>
      <c r="G992" t="s">
        <v>3024</v>
      </c>
      <c r="H992" t="s">
        <v>3025</v>
      </c>
      <c r="I992" t="s">
        <v>27</v>
      </c>
      <c r="J992">
        <v>14374.31</v>
      </c>
      <c r="K992">
        <v>291</v>
      </c>
      <c r="L992" t="s">
        <v>28</v>
      </c>
      <c r="M992" s="1">
        <v>43977</v>
      </c>
      <c r="N992" t="s">
        <v>99</v>
      </c>
      <c r="O992" t="s">
        <v>61</v>
      </c>
      <c r="P992">
        <v>13</v>
      </c>
      <c r="Q992" t="s">
        <v>31</v>
      </c>
      <c r="R992" t="s">
        <v>32</v>
      </c>
      <c r="S992">
        <v>5</v>
      </c>
      <c r="T992">
        <v>2020</v>
      </c>
      <c r="U992" t="s">
        <v>90</v>
      </c>
    </row>
    <row r="993" spans="1:21" x14ac:dyDescent="0.3">
      <c r="A993" t="s">
        <v>3026</v>
      </c>
      <c r="B993">
        <v>32</v>
      </c>
      <c r="C993" t="s">
        <v>22</v>
      </c>
      <c r="D993" t="s">
        <v>23</v>
      </c>
      <c r="E993" t="s">
        <v>115</v>
      </c>
      <c r="F993" s="1">
        <v>45195</v>
      </c>
      <c r="G993" t="s">
        <v>3027</v>
      </c>
      <c r="H993" t="s">
        <v>3028</v>
      </c>
      <c r="I993" t="s">
        <v>73</v>
      </c>
      <c r="J993">
        <v>5936.18</v>
      </c>
      <c r="K993">
        <v>313</v>
      </c>
      <c r="L993" t="s">
        <v>28</v>
      </c>
      <c r="M993" s="1">
        <v>45198</v>
      </c>
      <c r="N993" t="s">
        <v>52</v>
      </c>
      <c r="O993" t="s">
        <v>30</v>
      </c>
      <c r="P993">
        <v>3</v>
      </c>
      <c r="Q993" t="s">
        <v>31</v>
      </c>
      <c r="R993" t="s">
        <v>100</v>
      </c>
      <c r="S993">
        <v>9</v>
      </c>
      <c r="T993">
        <v>2023</v>
      </c>
      <c r="U993" t="s">
        <v>54</v>
      </c>
    </row>
    <row r="994" spans="1:21" x14ac:dyDescent="0.3">
      <c r="A994" t="s">
        <v>3029</v>
      </c>
      <c r="B994">
        <v>40</v>
      </c>
      <c r="C994" t="s">
        <v>22</v>
      </c>
      <c r="D994" t="s">
        <v>35</v>
      </c>
      <c r="E994" t="s">
        <v>57</v>
      </c>
      <c r="F994" s="1">
        <v>45091</v>
      </c>
      <c r="G994" t="s">
        <v>3030</v>
      </c>
      <c r="H994" t="s">
        <v>3031</v>
      </c>
      <c r="I994" t="s">
        <v>82</v>
      </c>
      <c r="J994">
        <v>32897.269999999997</v>
      </c>
      <c r="K994">
        <v>228</v>
      </c>
      <c r="L994" t="s">
        <v>28</v>
      </c>
      <c r="M994" s="1">
        <v>45092</v>
      </c>
      <c r="N994" t="s">
        <v>41</v>
      </c>
      <c r="O994" t="s">
        <v>42</v>
      </c>
      <c r="P994">
        <v>1</v>
      </c>
      <c r="Q994" t="s">
        <v>68</v>
      </c>
      <c r="R994" t="s">
        <v>44</v>
      </c>
      <c r="S994">
        <v>6</v>
      </c>
      <c r="T994">
        <v>2023</v>
      </c>
      <c r="U994" t="s">
        <v>118</v>
      </c>
    </row>
    <row r="995" spans="1:21" x14ac:dyDescent="0.3">
      <c r="A995" t="s">
        <v>3032</v>
      </c>
      <c r="B995">
        <v>25</v>
      </c>
      <c r="C995" t="s">
        <v>22</v>
      </c>
      <c r="D995" t="s">
        <v>76</v>
      </c>
      <c r="E995" t="s">
        <v>70</v>
      </c>
      <c r="F995" s="1">
        <v>45417</v>
      </c>
      <c r="G995" t="s">
        <v>3033</v>
      </c>
      <c r="H995" t="s">
        <v>3034</v>
      </c>
      <c r="I995" t="s">
        <v>82</v>
      </c>
      <c r="J995">
        <v>3963.12</v>
      </c>
      <c r="K995">
        <v>415</v>
      </c>
      <c r="L995" t="s">
        <v>28</v>
      </c>
      <c r="M995" s="1">
        <v>45419</v>
      </c>
      <c r="N995" t="s">
        <v>52</v>
      </c>
      <c r="O995" t="s">
        <v>61</v>
      </c>
      <c r="P995">
        <v>2</v>
      </c>
      <c r="Q995" t="s">
        <v>31</v>
      </c>
      <c r="R995" t="s">
        <v>100</v>
      </c>
      <c r="S995">
        <v>5</v>
      </c>
      <c r="T995">
        <v>2024</v>
      </c>
      <c r="U995" t="s">
        <v>90</v>
      </c>
    </row>
    <row r="996" spans="1:21" x14ac:dyDescent="0.3">
      <c r="A996" t="s">
        <v>3035</v>
      </c>
      <c r="B996">
        <v>69</v>
      </c>
      <c r="C996" t="s">
        <v>22</v>
      </c>
      <c r="D996" t="s">
        <v>48</v>
      </c>
      <c r="E996" t="s">
        <v>70</v>
      </c>
      <c r="F996" s="1">
        <v>45019</v>
      </c>
      <c r="G996" t="s">
        <v>3036</v>
      </c>
      <c r="H996" t="s">
        <v>3037</v>
      </c>
      <c r="I996" t="s">
        <v>27</v>
      </c>
      <c r="J996">
        <v>16057.82</v>
      </c>
      <c r="K996">
        <v>431</v>
      </c>
      <c r="L996" t="s">
        <v>60</v>
      </c>
      <c r="M996" s="1">
        <v>45027</v>
      </c>
      <c r="N996" t="s">
        <v>41</v>
      </c>
      <c r="O996" t="s">
        <v>30</v>
      </c>
      <c r="P996">
        <v>8</v>
      </c>
      <c r="Q996" t="s">
        <v>43</v>
      </c>
      <c r="R996" t="s">
        <v>32</v>
      </c>
      <c r="S996">
        <v>4</v>
      </c>
      <c r="T996">
        <v>2023</v>
      </c>
      <c r="U996" t="s">
        <v>94</v>
      </c>
    </row>
    <row r="997" spans="1:21" x14ac:dyDescent="0.3">
      <c r="A997" t="s">
        <v>3038</v>
      </c>
      <c r="B997">
        <v>25</v>
      </c>
      <c r="C997" t="s">
        <v>47</v>
      </c>
      <c r="D997" t="s">
        <v>23</v>
      </c>
      <c r="E997" t="s">
        <v>57</v>
      </c>
      <c r="F997" s="1">
        <v>44493</v>
      </c>
      <c r="G997" t="s">
        <v>2237</v>
      </c>
      <c r="H997" t="s">
        <v>3039</v>
      </c>
      <c r="I997" t="s">
        <v>39</v>
      </c>
      <c r="J997">
        <v>44041.57</v>
      </c>
      <c r="K997">
        <v>454</v>
      </c>
      <c r="L997" t="s">
        <v>40</v>
      </c>
      <c r="M997" s="1">
        <v>44513</v>
      </c>
      <c r="N997" t="s">
        <v>41</v>
      </c>
      <c r="O997" t="s">
        <v>30</v>
      </c>
      <c r="P997">
        <v>20</v>
      </c>
      <c r="Q997" t="s">
        <v>31</v>
      </c>
      <c r="R997" t="s">
        <v>44</v>
      </c>
      <c r="S997">
        <v>10</v>
      </c>
      <c r="T997">
        <v>2021</v>
      </c>
      <c r="U997" t="s">
        <v>110</v>
      </c>
    </row>
    <row r="998" spans="1:21" x14ac:dyDescent="0.3">
      <c r="A998" t="s">
        <v>3040</v>
      </c>
      <c r="B998">
        <v>66</v>
      </c>
      <c r="C998" t="s">
        <v>47</v>
      </c>
      <c r="D998" t="s">
        <v>127</v>
      </c>
      <c r="E998" t="s">
        <v>115</v>
      </c>
      <c r="F998" s="1">
        <v>45070</v>
      </c>
      <c r="G998" t="s">
        <v>3041</v>
      </c>
      <c r="H998" t="s">
        <v>3042</v>
      </c>
      <c r="I998" t="s">
        <v>39</v>
      </c>
      <c r="J998">
        <v>15086.16</v>
      </c>
      <c r="K998">
        <v>445</v>
      </c>
      <c r="L998" t="s">
        <v>28</v>
      </c>
      <c r="M998" s="1">
        <v>45086</v>
      </c>
      <c r="N998" t="s">
        <v>99</v>
      </c>
      <c r="O998" t="s">
        <v>61</v>
      </c>
      <c r="P998">
        <v>16</v>
      </c>
      <c r="Q998" t="s">
        <v>43</v>
      </c>
      <c r="R998" t="s">
        <v>32</v>
      </c>
      <c r="S998">
        <v>5</v>
      </c>
      <c r="T998">
        <v>2023</v>
      </c>
      <c r="U998" t="s">
        <v>90</v>
      </c>
    </row>
    <row r="999" spans="1:21" x14ac:dyDescent="0.3">
      <c r="A999" t="s">
        <v>3043</v>
      </c>
      <c r="B999">
        <v>62</v>
      </c>
      <c r="C999" t="s">
        <v>22</v>
      </c>
      <c r="D999" t="s">
        <v>35</v>
      </c>
      <c r="E999" t="s">
        <v>96</v>
      </c>
      <c r="F999" s="1">
        <v>43819</v>
      </c>
      <c r="G999" t="s">
        <v>3044</v>
      </c>
      <c r="H999" t="s">
        <v>3045</v>
      </c>
      <c r="I999" t="s">
        <v>73</v>
      </c>
      <c r="J999">
        <v>16377.52</v>
      </c>
      <c r="K999">
        <v>174</v>
      </c>
      <c r="L999" t="s">
        <v>28</v>
      </c>
      <c r="M999" s="1">
        <v>43847</v>
      </c>
      <c r="N999" t="s">
        <v>67</v>
      </c>
      <c r="O999" t="s">
        <v>42</v>
      </c>
      <c r="P999">
        <v>28</v>
      </c>
      <c r="Q999" t="s">
        <v>43</v>
      </c>
      <c r="R999" t="s">
        <v>32</v>
      </c>
      <c r="S999">
        <v>12</v>
      </c>
      <c r="T999">
        <v>2019</v>
      </c>
      <c r="U999" t="s">
        <v>74</v>
      </c>
    </row>
    <row r="1000" spans="1:21" x14ac:dyDescent="0.3">
      <c r="A1000" t="s">
        <v>3046</v>
      </c>
      <c r="B1000">
        <v>30</v>
      </c>
      <c r="C1000" t="s">
        <v>22</v>
      </c>
      <c r="D1000" t="s">
        <v>48</v>
      </c>
      <c r="E1000" t="s">
        <v>96</v>
      </c>
      <c r="F1000" s="1">
        <v>44678</v>
      </c>
      <c r="G1000" t="s">
        <v>3047</v>
      </c>
      <c r="H1000" t="s">
        <v>3048</v>
      </c>
      <c r="I1000" t="s">
        <v>73</v>
      </c>
      <c r="J1000">
        <v>43488.84</v>
      </c>
      <c r="K1000">
        <v>341</v>
      </c>
      <c r="L1000" t="s">
        <v>60</v>
      </c>
      <c r="M1000" s="1">
        <v>44685</v>
      </c>
      <c r="N1000" t="s">
        <v>99</v>
      </c>
      <c r="O1000" t="s">
        <v>42</v>
      </c>
      <c r="P1000">
        <v>7</v>
      </c>
      <c r="Q1000" t="s">
        <v>31</v>
      </c>
      <c r="R1000" t="s">
        <v>44</v>
      </c>
      <c r="S1000">
        <v>4</v>
      </c>
      <c r="T1000">
        <v>2022</v>
      </c>
      <c r="U1000" t="s">
        <v>94</v>
      </c>
    </row>
    <row r="1001" spans="1:21" x14ac:dyDescent="0.3">
      <c r="A1001" t="s">
        <v>3049</v>
      </c>
      <c r="B1001">
        <v>55</v>
      </c>
      <c r="C1001" t="s">
        <v>22</v>
      </c>
      <c r="D1001" t="s">
        <v>127</v>
      </c>
      <c r="E1001" t="s">
        <v>96</v>
      </c>
      <c r="F1001" s="1">
        <v>43783</v>
      </c>
      <c r="G1001" t="s">
        <v>3050</v>
      </c>
      <c r="H1001" t="s">
        <v>3051</v>
      </c>
      <c r="I1001" t="s">
        <v>82</v>
      </c>
      <c r="J1001">
        <v>43108.89</v>
      </c>
      <c r="K1001">
        <v>161</v>
      </c>
      <c r="L1001" t="s">
        <v>40</v>
      </c>
      <c r="M1001" s="1">
        <v>43785</v>
      </c>
      <c r="N1001" t="s">
        <v>41</v>
      </c>
      <c r="O1001" t="s">
        <v>42</v>
      </c>
      <c r="P1001">
        <v>2</v>
      </c>
      <c r="Q1001" t="s">
        <v>68</v>
      </c>
      <c r="R1001" t="s">
        <v>44</v>
      </c>
      <c r="S1001">
        <v>11</v>
      </c>
      <c r="T1001">
        <v>2019</v>
      </c>
      <c r="U1001" t="s">
        <v>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BB80-1273-4D5C-BD0E-89FE17138B13}">
  <dimension ref="A1:Q27"/>
  <sheetViews>
    <sheetView topLeftCell="E1" workbookViewId="0">
      <selection activeCell="L9" sqref="F2:L11"/>
    </sheetView>
  </sheetViews>
  <sheetFormatPr defaultRowHeight="14.4" x14ac:dyDescent="0.3"/>
  <cols>
    <col min="1" max="1" width="11.77734375" bestFit="1" customWidth="1"/>
    <col min="2" max="2" width="12.44140625" bestFit="1" customWidth="1"/>
    <col min="6" max="6" width="12.5546875" bestFit="1" customWidth="1"/>
    <col min="7" max="7" width="12.44140625" bestFit="1" customWidth="1"/>
    <col min="8" max="8" width="9.5546875" bestFit="1" customWidth="1"/>
    <col min="9" max="9" width="5.6640625" bestFit="1" customWidth="1"/>
    <col min="10" max="10" width="12.5546875" bestFit="1" customWidth="1"/>
    <col min="11" max="11" width="12.44140625" bestFit="1" customWidth="1"/>
    <col min="12" max="12" width="10.77734375" bestFit="1" customWidth="1"/>
    <col min="14" max="14" width="12.44140625" bestFit="1" customWidth="1"/>
    <col min="15" max="15" width="13.109375" bestFit="1" customWidth="1"/>
    <col min="16" max="16" width="12" bestFit="1" customWidth="1"/>
    <col min="17" max="17" width="18.109375" bestFit="1" customWidth="1"/>
  </cols>
  <sheetData>
    <row r="1" spans="1:17" x14ac:dyDescent="0.3">
      <c r="A1" s="2" t="s">
        <v>3052</v>
      </c>
      <c r="B1" t="s">
        <v>3054</v>
      </c>
    </row>
    <row r="2" spans="1:17" ht="18" x14ac:dyDescent="0.35">
      <c r="A2" s="3">
        <v>2019</v>
      </c>
      <c r="B2" s="17">
        <v>142</v>
      </c>
      <c r="F2" s="6" t="s">
        <v>3057</v>
      </c>
      <c r="G2" s="6"/>
      <c r="H2" s="6"/>
      <c r="I2" s="6"/>
      <c r="J2" s="6"/>
      <c r="K2" s="6"/>
      <c r="L2" s="6"/>
      <c r="N2" s="6" t="s">
        <v>3062</v>
      </c>
      <c r="O2" s="6"/>
    </row>
    <row r="3" spans="1:17" x14ac:dyDescent="0.3">
      <c r="A3" s="3">
        <v>2020</v>
      </c>
      <c r="B3" s="17">
        <v>224</v>
      </c>
      <c r="F3" s="2" t="s">
        <v>3054</v>
      </c>
      <c r="G3" s="2" t="s">
        <v>3055</v>
      </c>
      <c r="N3" t="s">
        <v>3054</v>
      </c>
      <c r="O3" t="s">
        <v>3063</v>
      </c>
      <c r="P3" t="s">
        <v>3064</v>
      </c>
      <c r="Q3" t="s">
        <v>3065</v>
      </c>
    </row>
    <row r="4" spans="1:17" x14ac:dyDescent="0.3">
      <c r="A4" s="3">
        <v>2021</v>
      </c>
      <c r="B4" s="17">
        <v>188</v>
      </c>
      <c r="F4" s="2" t="s">
        <v>3052</v>
      </c>
      <c r="G4" t="s">
        <v>51</v>
      </c>
      <c r="H4" t="s">
        <v>27</v>
      </c>
      <c r="I4" t="s">
        <v>82</v>
      </c>
      <c r="J4" t="s">
        <v>39</v>
      </c>
      <c r="K4" t="s">
        <v>73</v>
      </c>
      <c r="L4" t="s">
        <v>3053</v>
      </c>
      <c r="N4" s="17">
        <v>1000</v>
      </c>
      <c r="O4" s="17">
        <v>25117631.960000016</v>
      </c>
      <c r="P4" s="17">
        <v>25117.631960000017</v>
      </c>
      <c r="Q4" s="17">
        <v>15.664</v>
      </c>
    </row>
    <row r="5" spans="1:17" x14ac:dyDescent="0.3">
      <c r="A5" s="3">
        <v>2022</v>
      </c>
      <c r="B5" s="17">
        <v>188</v>
      </c>
      <c r="F5" s="3" t="s">
        <v>115</v>
      </c>
      <c r="G5" s="17">
        <v>40</v>
      </c>
      <c r="H5" s="17">
        <v>33</v>
      </c>
      <c r="I5" s="17">
        <v>32</v>
      </c>
      <c r="J5" s="17">
        <v>35</v>
      </c>
      <c r="K5" s="17">
        <v>38</v>
      </c>
      <c r="L5" s="17">
        <v>178</v>
      </c>
    </row>
    <row r="6" spans="1:17" x14ac:dyDescent="0.3">
      <c r="A6" s="3">
        <v>2023</v>
      </c>
      <c r="B6" s="17">
        <v>178</v>
      </c>
      <c r="F6" s="3" t="s">
        <v>70</v>
      </c>
      <c r="G6" s="17">
        <v>46</v>
      </c>
      <c r="H6" s="17">
        <v>27</v>
      </c>
      <c r="I6" s="17">
        <v>29</v>
      </c>
      <c r="J6" s="17">
        <v>34</v>
      </c>
      <c r="K6" s="17">
        <v>31</v>
      </c>
      <c r="L6" s="17">
        <v>167</v>
      </c>
    </row>
    <row r="7" spans="1:17" x14ac:dyDescent="0.3">
      <c r="A7" s="3">
        <v>2024</v>
      </c>
      <c r="B7" s="17">
        <v>80</v>
      </c>
      <c r="F7" s="3" t="s">
        <v>24</v>
      </c>
      <c r="G7" s="17">
        <v>30</v>
      </c>
      <c r="H7" s="17">
        <v>38</v>
      </c>
      <c r="I7" s="17">
        <v>38</v>
      </c>
      <c r="J7" s="17">
        <v>34</v>
      </c>
      <c r="K7" s="17">
        <v>27</v>
      </c>
      <c r="L7" s="17">
        <v>167</v>
      </c>
    </row>
    <row r="8" spans="1:17" x14ac:dyDescent="0.3">
      <c r="A8" s="3" t="s">
        <v>3053</v>
      </c>
      <c r="B8" s="17">
        <v>1000</v>
      </c>
      <c r="F8" s="3" t="s">
        <v>57</v>
      </c>
      <c r="G8" s="17">
        <v>34</v>
      </c>
      <c r="H8" s="17">
        <v>27</v>
      </c>
      <c r="I8" s="17">
        <v>41</v>
      </c>
      <c r="J8" s="17">
        <v>34</v>
      </c>
      <c r="K8" s="17">
        <v>33</v>
      </c>
      <c r="L8" s="17">
        <v>169</v>
      </c>
    </row>
    <row r="9" spans="1:17" ht="18" x14ac:dyDescent="0.35">
      <c r="A9" s="6" t="s">
        <v>3059</v>
      </c>
      <c r="B9" s="6"/>
      <c r="C9" s="6"/>
      <c r="F9" s="3" t="s">
        <v>96</v>
      </c>
      <c r="G9" s="17">
        <v>32</v>
      </c>
      <c r="H9" s="17">
        <v>32</v>
      </c>
      <c r="I9" s="17">
        <v>37</v>
      </c>
      <c r="J9" s="17">
        <v>35</v>
      </c>
      <c r="K9" s="17">
        <v>28</v>
      </c>
      <c r="L9" s="17">
        <v>164</v>
      </c>
    </row>
    <row r="10" spans="1:17" x14ac:dyDescent="0.3">
      <c r="B10" t="s">
        <v>3054</v>
      </c>
      <c r="F10" s="3" t="s">
        <v>36</v>
      </c>
      <c r="G10" s="17">
        <v>28</v>
      </c>
      <c r="H10" s="17">
        <v>31</v>
      </c>
      <c r="I10" s="17">
        <v>33</v>
      </c>
      <c r="J10" s="17">
        <v>35</v>
      </c>
      <c r="K10" s="17">
        <v>28</v>
      </c>
      <c r="L10" s="17">
        <v>155</v>
      </c>
    </row>
    <row r="11" spans="1:17" x14ac:dyDescent="0.3">
      <c r="A11" s="3" t="s">
        <v>115</v>
      </c>
      <c r="B11" s="17">
        <v>178</v>
      </c>
      <c r="F11" s="3" t="s">
        <v>3053</v>
      </c>
      <c r="G11" s="17">
        <v>210</v>
      </c>
      <c r="H11" s="17">
        <v>188</v>
      </c>
      <c r="I11" s="17">
        <v>210</v>
      </c>
      <c r="J11" s="17">
        <v>207</v>
      </c>
      <c r="K11" s="17">
        <v>185</v>
      </c>
      <c r="L11" s="17">
        <v>1000</v>
      </c>
    </row>
    <row r="12" spans="1:17" x14ac:dyDescent="0.3">
      <c r="A12" s="3" t="s">
        <v>70</v>
      </c>
      <c r="B12" s="17">
        <v>167</v>
      </c>
    </row>
    <row r="13" spans="1:17" ht="18" x14ac:dyDescent="0.35">
      <c r="A13" s="3" t="s">
        <v>24</v>
      </c>
      <c r="B13" s="17">
        <v>167</v>
      </c>
      <c r="F13" s="6" t="s">
        <v>3056</v>
      </c>
      <c r="G13" s="6"/>
    </row>
    <row r="14" spans="1:17" ht="18" x14ac:dyDescent="0.35">
      <c r="A14" s="3" t="s">
        <v>57</v>
      </c>
      <c r="B14" s="17">
        <v>169</v>
      </c>
      <c r="F14" s="2" t="s">
        <v>3052</v>
      </c>
      <c r="G14" t="s">
        <v>3054</v>
      </c>
      <c r="J14" s="6" t="s">
        <v>3060</v>
      </c>
      <c r="K14" s="6"/>
      <c r="L14" s="6"/>
    </row>
    <row r="15" spans="1:17" x14ac:dyDescent="0.3">
      <c r="A15" s="3" t="s">
        <v>96</v>
      </c>
      <c r="B15" s="17">
        <v>164</v>
      </c>
      <c r="F15" s="3" t="s">
        <v>48</v>
      </c>
      <c r="G15" s="17">
        <v>116</v>
      </c>
      <c r="J15" s="2" t="s">
        <v>3052</v>
      </c>
      <c r="K15" t="s">
        <v>3054</v>
      </c>
    </row>
    <row r="16" spans="1:17" x14ac:dyDescent="0.3">
      <c r="A16" s="3" t="s">
        <v>36</v>
      </c>
      <c r="B16" s="17">
        <v>155</v>
      </c>
      <c r="F16" s="3" t="s">
        <v>35</v>
      </c>
      <c r="G16" s="17">
        <v>132</v>
      </c>
      <c r="J16" s="3" t="s">
        <v>61</v>
      </c>
      <c r="K16" s="17">
        <v>350</v>
      </c>
    </row>
    <row r="17" spans="1:11" x14ac:dyDescent="0.3">
      <c r="A17" s="3" t="s">
        <v>3053</v>
      </c>
      <c r="B17" s="17">
        <v>1000</v>
      </c>
      <c r="F17" s="3" t="s">
        <v>76</v>
      </c>
      <c r="G17" s="17">
        <v>124</v>
      </c>
      <c r="J17" s="3" t="s">
        <v>42</v>
      </c>
      <c r="K17" s="17">
        <v>324</v>
      </c>
    </row>
    <row r="18" spans="1:11" ht="18" x14ac:dyDescent="0.35">
      <c r="A18" s="6" t="s">
        <v>3058</v>
      </c>
      <c r="B18" s="6"/>
      <c r="C18" s="6"/>
      <c r="D18" s="6"/>
      <c r="F18" s="3" t="s">
        <v>64</v>
      </c>
      <c r="G18" s="17">
        <v>127</v>
      </c>
      <c r="J18" s="3" t="s">
        <v>30</v>
      </c>
      <c r="K18" s="17">
        <v>326</v>
      </c>
    </row>
    <row r="19" spans="1:11" x14ac:dyDescent="0.3">
      <c r="F19" s="3" t="s">
        <v>23</v>
      </c>
      <c r="G19" s="17">
        <v>124</v>
      </c>
      <c r="J19" s="3" t="s">
        <v>3053</v>
      </c>
      <c r="K19" s="17">
        <v>1000</v>
      </c>
    </row>
    <row r="20" spans="1:11" x14ac:dyDescent="0.3">
      <c r="F20" s="3" t="s">
        <v>127</v>
      </c>
      <c r="G20" s="17">
        <v>123</v>
      </c>
    </row>
    <row r="21" spans="1:11" ht="18" x14ac:dyDescent="0.35">
      <c r="F21" s="3" t="s">
        <v>149</v>
      </c>
      <c r="G21" s="17">
        <v>115</v>
      </c>
      <c r="J21" s="6" t="s">
        <v>3061</v>
      </c>
      <c r="K21" s="6"/>
    </row>
    <row r="22" spans="1:11" x14ac:dyDescent="0.3">
      <c r="F22" s="3" t="s">
        <v>56</v>
      </c>
      <c r="G22" s="17">
        <v>139</v>
      </c>
      <c r="J22" s="2" t="s">
        <v>3052</v>
      </c>
      <c r="K22" t="s">
        <v>3054</v>
      </c>
    </row>
    <row r="23" spans="1:11" x14ac:dyDescent="0.3">
      <c r="F23" s="3" t="s">
        <v>3053</v>
      </c>
      <c r="G23" s="17">
        <v>1000</v>
      </c>
      <c r="J23" s="3" t="s">
        <v>53</v>
      </c>
      <c r="K23" s="17">
        <v>209</v>
      </c>
    </row>
    <row r="24" spans="1:11" x14ac:dyDescent="0.3">
      <c r="J24" s="3" t="s">
        <v>68</v>
      </c>
      <c r="K24" s="17">
        <v>299</v>
      </c>
    </row>
    <row r="25" spans="1:11" x14ac:dyDescent="0.3">
      <c r="J25" s="3" t="s">
        <v>43</v>
      </c>
      <c r="K25" s="17">
        <v>226</v>
      </c>
    </row>
    <row r="26" spans="1:11" x14ac:dyDescent="0.3">
      <c r="J26" s="3" t="s">
        <v>31</v>
      </c>
      <c r="K26" s="17">
        <v>266</v>
      </c>
    </row>
    <row r="27" spans="1:11" x14ac:dyDescent="0.3">
      <c r="J27" s="3" t="s">
        <v>3053</v>
      </c>
      <c r="K27" s="17">
        <v>1000</v>
      </c>
    </row>
  </sheetData>
  <mergeCells count="7">
    <mergeCell ref="J21:K21"/>
    <mergeCell ref="N2:O2"/>
    <mergeCell ref="F13:G13"/>
    <mergeCell ref="F2:L2"/>
    <mergeCell ref="A18:D18"/>
    <mergeCell ref="A9:C9"/>
    <mergeCell ref="J14:L14"/>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BE15-756B-4F9C-9023-899753F47A2F}">
  <dimension ref="A3:S8"/>
  <sheetViews>
    <sheetView showGridLines="0" tabSelected="1" zoomScale="90" zoomScaleNormal="90" workbookViewId="0">
      <selection activeCell="T9" sqref="T9"/>
    </sheetView>
  </sheetViews>
  <sheetFormatPr defaultRowHeight="14.4" x14ac:dyDescent="0.3"/>
  <cols>
    <col min="1" max="16384" width="8.88671875" style="4"/>
  </cols>
  <sheetData>
    <row r="3" spans="1:19" ht="28.8" x14ac:dyDescent="0.55000000000000004">
      <c r="A3" s="12"/>
      <c r="B3" s="19" t="s">
        <v>3066</v>
      </c>
      <c r="C3" s="18"/>
      <c r="D3" s="18"/>
      <c r="E3" s="18"/>
      <c r="F3" s="18"/>
      <c r="G3" s="18"/>
      <c r="H3" s="18"/>
      <c r="I3" s="18"/>
      <c r="J3" s="18"/>
      <c r="K3" s="18"/>
      <c r="L3" s="18"/>
      <c r="M3" s="18"/>
      <c r="N3" s="18"/>
      <c r="O3" s="18"/>
      <c r="P3" s="18"/>
      <c r="Q3" s="18"/>
      <c r="R3" s="18"/>
    </row>
    <row r="4" spans="1:19" ht="14.4" customHeight="1" x14ac:dyDescent="0.3">
      <c r="A4" s="12"/>
      <c r="B4" s="15"/>
      <c r="C4" s="15"/>
      <c r="D4" s="15"/>
      <c r="E4" s="15"/>
      <c r="F4" s="15"/>
      <c r="G4" s="15"/>
      <c r="H4" s="15"/>
      <c r="I4" s="15"/>
      <c r="J4" s="14"/>
      <c r="K4" s="14"/>
      <c r="L4" s="14"/>
      <c r="M4" s="14"/>
      <c r="N4" s="14"/>
      <c r="O4" s="14"/>
      <c r="P4" s="14"/>
      <c r="Q4" s="14"/>
      <c r="R4" s="14"/>
      <c r="S4" s="5"/>
    </row>
    <row r="5" spans="1:19" ht="15.6" customHeight="1" x14ac:dyDescent="0.3">
      <c r="A5" s="12"/>
      <c r="B5" s="15"/>
      <c r="C5" s="15"/>
      <c r="D5" s="15"/>
      <c r="E5" s="15"/>
      <c r="F5" s="15"/>
      <c r="G5" s="15"/>
      <c r="H5" s="15"/>
      <c r="I5" s="15"/>
      <c r="J5" s="9" t="s">
        <v>3054</v>
      </c>
      <c r="K5" s="9"/>
      <c r="L5" s="9" t="s">
        <v>3063</v>
      </c>
      <c r="M5" s="9"/>
      <c r="N5" s="9"/>
      <c r="O5" s="9" t="s">
        <v>3064</v>
      </c>
      <c r="P5" s="9"/>
      <c r="Q5" s="9" t="s">
        <v>3067</v>
      </c>
      <c r="R5" s="9"/>
      <c r="S5" s="5"/>
    </row>
    <row r="6" spans="1:19" ht="14.4" customHeight="1" x14ac:dyDescent="0.3">
      <c r="A6" s="13"/>
      <c r="B6" s="16"/>
      <c r="C6" s="16"/>
      <c r="D6" s="16"/>
      <c r="E6" s="15"/>
      <c r="F6" s="15"/>
      <c r="G6" s="15"/>
      <c r="H6" s="15"/>
      <c r="I6" s="15"/>
      <c r="J6" s="10">
        <f>GETPIVOTDATA("Total Patients",PIVOT_DATA!$N$3)</f>
        <v>1000</v>
      </c>
      <c r="K6" s="10"/>
      <c r="L6" s="8">
        <f>GETPIVOTDATA("Total Revenue",PIVOT_DATA!$N$3)</f>
        <v>25117631.960000016</v>
      </c>
      <c r="M6" s="8"/>
      <c r="N6" s="8"/>
      <c r="O6" s="7">
        <f>GETPIVOTDATA("Avg Billing",PIVOT_DATA!$N$3)</f>
        <v>25117.631960000017</v>
      </c>
      <c r="P6" s="7"/>
      <c r="Q6" s="11">
        <f>GETPIVOTDATA("Avg Length_of_Stay",PIVOT_DATA!$N$3)</f>
        <v>15.664</v>
      </c>
      <c r="R6" s="11"/>
      <c r="S6" s="5"/>
    </row>
    <row r="7" spans="1:19" ht="14.4" customHeight="1" x14ac:dyDescent="0.3">
      <c r="A7" s="13"/>
      <c r="B7" s="16"/>
      <c r="C7" s="16"/>
      <c r="D7" s="16"/>
      <c r="E7" s="15"/>
      <c r="F7" s="15"/>
      <c r="G7" s="15"/>
      <c r="H7" s="15"/>
      <c r="I7" s="15"/>
      <c r="J7" s="10"/>
      <c r="K7" s="10"/>
      <c r="L7" s="8"/>
      <c r="M7" s="8"/>
      <c r="N7" s="8"/>
      <c r="O7" s="7"/>
      <c r="P7" s="7"/>
      <c r="Q7" s="11"/>
      <c r="R7" s="11"/>
      <c r="S7" s="5"/>
    </row>
    <row r="8" spans="1:19" x14ac:dyDescent="0.3">
      <c r="B8" s="5"/>
      <c r="C8" s="5"/>
      <c r="D8" s="5"/>
      <c r="E8" s="5"/>
      <c r="F8" s="5"/>
      <c r="G8" s="5"/>
      <c r="H8" s="5"/>
      <c r="I8" s="5"/>
      <c r="J8" s="5"/>
      <c r="K8" s="5"/>
      <c r="L8" s="5"/>
      <c r="M8" s="5"/>
      <c r="N8" s="5"/>
      <c r="O8" s="5"/>
      <c r="P8" s="5"/>
      <c r="Q8" s="5"/>
      <c r="R8" s="5"/>
      <c r="S8" s="5"/>
    </row>
  </sheetData>
  <mergeCells count="9">
    <mergeCell ref="Q5:R5"/>
    <mergeCell ref="O5:P5"/>
    <mergeCell ref="B3:R3"/>
    <mergeCell ref="Q6:R7"/>
    <mergeCell ref="O6:P7"/>
    <mergeCell ref="L6:N7"/>
    <mergeCell ref="L5:N5"/>
    <mergeCell ref="J6:K7"/>
    <mergeCell ref="J5:K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BE5714-D07E-4600-9D00-91D14C5341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kombe</dc:creator>
  <cp:lastModifiedBy>denis kombe</cp:lastModifiedBy>
  <dcterms:created xsi:type="dcterms:W3CDTF">2026-05-02T18:56:54Z</dcterms:created>
  <dcterms:modified xsi:type="dcterms:W3CDTF">2026-05-03T09:56:15Z</dcterms:modified>
</cp:coreProperties>
</file>